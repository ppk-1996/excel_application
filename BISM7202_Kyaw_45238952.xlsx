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heets/sheet1.xml" ContentType="application/vnd.openxmlformats-officedocument.spreadsheetml.chart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9226"/>
  <workbookPr hidePivotFieldList="1"/>
  <mc:AlternateContent xmlns:mc="http://schemas.openxmlformats.org/markup-compatibility/2006">
    <mc:Choice Requires="x15">
      <x15ac:absPath xmlns:x15ac="http://schemas.microsoft.com/office/spreadsheetml/2010/11/ac" url="C:\Users\John\Desktop\Excel BISM ASS\"/>
    </mc:Choice>
  </mc:AlternateContent>
  <xr:revisionPtr revIDLastSave="0" documentId="13_ncr:1_{5BAE127B-8178-47A8-BADB-9F8D44F6B0B9}" xr6:coauthVersionLast="32" xr6:coauthVersionMax="32" xr10:uidLastSave="{00000000-0000-0000-0000-000000000000}"/>
  <bookViews>
    <workbookView xWindow="0" yWindow="0" windowWidth="13680" windowHeight="5245" tabRatio="826" firstSheet="6" activeTab="7" xr2:uid="{00000000-000D-0000-FFFF-FFFF00000000}"/>
  </bookViews>
  <sheets>
    <sheet name="Student Details" sheetId="6" r:id="rId1"/>
    <sheet name="Constants" sheetId="7" r:id="rId2"/>
    <sheet name="Employees &amp; Volunteers" sheetId="1" r:id="rId3"/>
    <sheet name="Children" sheetId="3" r:id="rId4"/>
    <sheet name="ChildrenPivotTable" sheetId="9" r:id="rId5"/>
    <sheet name="ChildrenPivotChart" sheetId="10" r:id="rId6"/>
    <sheet name="Families" sheetId="2" r:id="rId7"/>
    <sheet name="2019 Planner" sheetId="8" r:id="rId8"/>
    <sheet name="2019 Scenario Summary" sheetId="18" r:id="rId9"/>
    <sheet name="Investment Answer Report" sheetId="21" r:id="rId10"/>
    <sheet name="Investment Planning" sheetId="5" r:id="rId11"/>
  </sheets>
  <definedNames>
    <definedName name="_xlnm._FilterDatabase" localSheetId="3" hidden="1">Children!$I$12:$Q$128</definedName>
    <definedName name="CareCosts">Constants!$W$4:$X$10</definedName>
    <definedName name="CCBHourlyRate">Constants!$R$4</definedName>
    <definedName name="CCBMaxHours">Constants!$R$3</definedName>
    <definedName name="CCBThreshold">Constants!$R$5</definedName>
    <definedName name="CCBThresholdModifier">Constants!$R$6</definedName>
    <definedName name="CCRMax">Constants!$R$8</definedName>
    <definedName name="CCRRate">Constants!$R$7</definedName>
    <definedName name="_xlnm.Criteria">Children!$I$2:$Q$3</definedName>
    <definedName name="_xlnm.Database">Children!$I$12:$Q$128</definedName>
    <definedName name="EmployeeSuper">Constants!$K$4:$L$7</definedName>
    <definedName name="EmployerSuper">Constants!$H$4:$I$13</definedName>
    <definedName name="FixedTax">Constants!$A$4:$B$8</definedName>
    <definedName name="HELP">Constants!$E$4:$F$12</definedName>
    <definedName name="Holidays">Constants!$U$3:$U$14</definedName>
    <definedName name="IncomeThreshold">Constants!$A$4:$A$8</definedName>
    <definedName name="Rooms">Constants!$N$4:$O$7</definedName>
    <definedName name="SaturdayPenalty">Constants!$X$11</definedName>
    <definedName name="solver_adj" localSheetId="10" hidden="1">'Investment Planning'!$B$3:$B$7</definedName>
    <definedName name="solver_cvg" localSheetId="10" hidden="1">0.0001</definedName>
    <definedName name="solver_drv" localSheetId="10" hidden="1">1</definedName>
    <definedName name="solver_eng" localSheetId="10" hidden="1">1</definedName>
    <definedName name="solver_est" localSheetId="10" hidden="1">1</definedName>
    <definedName name="solver_itr" localSheetId="10" hidden="1">2147483647</definedName>
    <definedName name="solver_lhs1" localSheetId="10" hidden="1">'Investment Planning'!$B$9</definedName>
    <definedName name="solver_lhs2" localSheetId="10" hidden="1">'Investment Planning'!$E$9</definedName>
    <definedName name="solver_lhs3" localSheetId="10" hidden="1">'Investment Planning'!$G$9</definedName>
    <definedName name="solver_lhs4" localSheetId="10" hidden="1">'Investment Planning'!$I$13</definedName>
    <definedName name="solver_lhs5" localSheetId="10" hidden="1">'Investment Planning'!$I$9</definedName>
    <definedName name="solver_mip" localSheetId="10" hidden="1">2147483647</definedName>
    <definedName name="solver_mni" localSheetId="10" hidden="1">30</definedName>
    <definedName name="solver_mrt" localSheetId="10" hidden="1">0.075</definedName>
    <definedName name="solver_msl" localSheetId="10" hidden="1">2</definedName>
    <definedName name="solver_neg" localSheetId="10" hidden="1">1</definedName>
    <definedName name="solver_nod" localSheetId="10" hidden="1">2147483647</definedName>
    <definedName name="solver_num" localSheetId="10" hidden="1">5</definedName>
    <definedName name="solver_nwt" localSheetId="10" hidden="1">1</definedName>
    <definedName name="solver_opt" localSheetId="10" hidden="1">'Investment Planning'!$C$13</definedName>
    <definedName name="solver_pre" localSheetId="10" hidden="1">0.000001</definedName>
    <definedName name="solver_rbv" localSheetId="10" hidden="1">1</definedName>
    <definedName name="solver_rel1" localSheetId="10" hidden="1">1</definedName>
    <definedName name="solver_rel2" localSheetId="10" hidden="1">3</definedName>
    <definedName name="solver_rel3" localSheetId="10" hidden="1">1</definedName>
    <definedName name="solver_rel4" localSheetId="10" hidden="1">3</definedName>
    <definedName name="solver_rel5" localSheetId="10" hidden="1">3</definedName>
    <definedName name="solver_rhs1" localSheetId="10" hidden="1">'Investment Planning'!$B$11</definedName>
    <definedName name="solver_rhs2" localSheetId="10" hidden="1">0.5 * 'Investment Planning'!$B$11</definedName>
    <definedName name="solver_rhs3" localSheetId="10" hidden="1">0.5 * 'Investment Planning'!$B$11</definedName>
    <definedName name="solver_rhs4" localSheetId="10" hidden="1">0.3 * 'Investment Planning'!$C$13</definedName>
    <definedName name="solver_rhs5" localSheetId="10" hidden="1">0.3 * 'Investment Planning'!$B$11</definedName>
    <definedName name="solver_rlx" localSheetId="10" hidden="1">2</definedName>
    <definedName name="solver_rsd" localSheetId="10" hidden="1">0</definedName>
    <definedName name="solver_scl" localSheetId="10" hidden="1">1</definedName>
    <definedName name="solver_sho" localSheetId="10" hidden="1">2</definedName>
    <definedName name="solver_ssz" localSheetId="10" hidden="1">100</definedName>
    <definedName name="solver_tim" localSheetId="10" hidden="1">2147483647</definedName>
    <definedName name="solver_tol" localSheetId="10" hidden="1">0.01</definedName>
    <definedName name="solver_typ" localSheetId="10" hidden="1">1</definedName>
    <definedName name="solver_val" localSheetId="10" hidden="1">0</definedName>
    <definedName name="solver_ver" localSheetId="10" hidden="1">3</definedName>
    <definedName name="TaxPercentage">Constants!$A$4:$C$8</definedName>
  </definedNames>
  <calcPr calcId="179017"/>
  <pivotCaches>
    <pivotCache cacheId="0" r:id="rId12"/>
  </pivotCaches>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calcChain.xml><?xml version="1.0" encoding="utf-8"?>
<calcChain xmlns="http://schemas.openxmlformats.org/spreadsheetml/2006/main">
  <c r="K3" i="2" l="1"/>
  <c r="L3" i="2"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I13" i="5" l="1"/>
  <c r="I9" i="5"/>
  <c r="G9" i="5"/>
  <c r="E9" i="5"/>
  <c r="C13" i="5"/>
  <c r="B9" i="5"/>
  <c r="M13" i="3" l="1"/>
  <c r="E6" i="8"/>
  <c r="K6" i="8" s="1"/>
  <c r="E7" i="8"/>
  <c r="K7" i="8" s="1"/>
  <c r="E8" i="8"/>
  <c r="K8" i="8" s="1"/>
  <c r="E4" i="8"/>
  <c r="K4" i="8" s="1"/>
  <c r="E5" i="8"/>
  <c r="K5" i="8" s="1"/>
  <c r="E3" i="8"/>
  <c r="K3" i="8" s="1"/>
  <c r="B4" i="8"/>
  <c r="B5" i="8"/>
  <c r="B6" i="8"/>
  <c r="B7" i="8"/>
  <c r="B8" i="8"/>
  <c r="B3" i="8"/>
  <c r="K10" i="8" l="1"/>
  <c r="N7" i="3" l="1"/>
  <c r="I4" i="1" l="1"/>
  <c r="I5" i="1"/>
  <c r="I6" i="1"/>
  <c r="L6" i="1" s="1"/>
  <c r="I7" i="1"/>
  <c r="L7" i="1" s="1"/>
  <c r="I8" i="1"/>
  <c r="I9" i="1"/>
  <c r="I10" i="1"/>
  <c r="I11" i="1"/>
  <c r="I12" i="1"/>
  <c r="I13" i="1"/>
  <c r="L13" i="1" s="1"/>
  <c r="I14" i="1"/>
  <c r="L14" i="1" s="1"/>
  <c r="I15" i="1"/>
  <c r="L15" i="1" s="1"/>
  <c r="I16" i="1"/>
  <c r="I17" i="1"/>
  <c r="I18" i="1"/>
  <c r="I19" i="1"/>
  <c r="L19" i="1" s="1"/>
  <c r="I20" i="1"/>
  <c r="I21" i="1"/>
  <c r="L21" i="1" s="1"/>
  <c r="I22" i="1"/>
  <c r="I23" i="1"/>
  <c r="L23" i="1" s="1"/>
  <c r="I24" i="1"/>
  <c r="I25" i="1"/>
  <c r="I26" i="1"/>
  <c r="I27" i="1"/>
  <c r="L27" i="1" s="1"/>
  <c r="I28" i="1"/>
  <c r="I29" i="1"/>
  <c r="I30" i="1"/>
  <c r="I3" i="1"/>
  <c r="L3" i="1" s="1"/>
  <c r="L4" i="1"/>
  <c r="L11" i="1"/>
  <c r="L17" i="1"/>
  <c r="L18" i="1"/>
  <c r="L22" i="1"/>
  <c r="L5" i="1"/>
  <c r="L8" i="1"/>
  <c r="L9" i="1"/>
  <c r="L10" i="1"/>
  <c r="L12" i="1"/>
  <c r="L16" i="1"/>
  <c r="L20" i="1"/>
  <c r="L24" i="1"/>
  <c r="L25" i="1"/>
  <c r="L26" i="1"/>
  <c r="L28" i="1"/>
  <c r="L29" i="1"/>
  <c r="L30" i="1"/>
  <c r="K4" i="1"/>
  <c r="K5" i="1"/>
  <c r="K6" i="1"/>
  <c r="K7" i="1"/>
  <c r="K8" i="1"/>
  <c r="K9" i="1"/>
  <c r="K10" i="1"/>
  <c r="K11" i="1"/>
  <c r="K12" i="1"/>
  <c r="K13" i="1"/>
  <c r="K14" i="1"/>
  <c r="K15" i="1"/>
  <c r="K16" i="1"/>
  <c r="K17" i="1"/>
  <c r="K18" i="1"/>
  <c r="K19" i="1"/>
  <c r="K20" i="1"/>
  <c r="K21" i="1"/>
  <c r="K22" i="1"/>
  <c r="K23" i="1"/>
  <c r="K24" i="1"/>
  <c r="K25" i="1"/>
  <c r="K26" i="1"/>
  <c r="K27" i="1"/>
  <c r="K28" i="1"/>
  <c r="K29" i="1"/>
  <c r="K30" i="1"/>
  <c r="K3" i="1"/>
  <c r="J4" i="1"/>
  <c r="J5" i="1"/>
  <c r="J6" i="1"/>
  <c r="J7" i="1"/>
  <c r="J8" i="1"/>
  <c r="J9" i="1"/>
  <c r="J10" i="1"/>
  <c r="J11" i="1"/>
  <c r="J12" i="1"/>
  <c r="J13" i="1"/>
  <c r="J14" i="1"/>
  <c r="J15" i="1"/>
  <c r="J16" i="1"/>
  <c r="J17" i="1"/>
  <c r="J18" i="1"/>
  <c r="J19" i="1"/>
  <c r="J20" i="1"/>
  <c r="J21" i="1"/>
  <c r="J22" i="1"/>
  <c r="J23" i="1"/>
  <c r="J24" i="1"/>
  <c r="J25" i="1"/>
  <c r="J26" i="1"/>
  <c r="J27" i="1"/>
  <c r="J28" i="1"/>
  <c r="J29" i="1"/>
  <c r="J30" i="1"/>
  <c r="J3" i="1"/>
  <c r="H4" i="1" l="1"/>
  <c r="H5" i="1"/>
  <c r="H6" i="1"/>
  <c r="H7" i="1"/>
  <c r="H8" i="1"/>
  <c r="H9" i="1"/>
  <c r="H10" i="1"/>
  <c r="H11" i="1"/>
  <c r="H12" i="1"/>
  <c r="H13" i="1"/>
  <c r="H14" i="1"/>
  <c r="H15" i="1"/>
  <c r="H16" i="1"/>
  <c r="H17" i="1"/>
  <c r="H18" i="1"/>
  <c r="H19" i="1"/>
  <c r="H20" i="1"/>
  <c r="H21" i="1"/>
  <c r="H22" i="1"/>
  <c r="H23" i="1"/>
  <c r="H24" i="1"/>
  <c r="H25" i="1"/>
  <c r="H26" i="1"/>
  <c r="H27" i="1"/>
  <c r="H28" i="1"/>
  <c r="H29" i="1"/>
  <c r="H30" i="1"/>
  <c r="H3" i="1"/>
  <c r="I4" i="2"/>
  <c r="K4" i="2" s="1"/>
  <c r="I5" i="2"/>
  <c r="K5" i="2" s="1"/>
  <c r="I6" i="2"/>
  <c r="K6" i="2" s="1"/>
  <c r="I7" i="2"/>
  <c r="K7" i="2" s="1"/>
  <c r="I8" i="2"/>
  <c r="K8" i="2" s="1"/>
  <c r="I9" i="2"/>
  <c r="K9" i="2" s="1"/>
  <c r="I10" i="2"/>
  <c r="K10" i="2" s="1"/>
  <c r="I11" i="2"/>
  <c r="K11" i="2" s="1"/>
  <c r="I12" i="2"/>
  <c r="K12" i="2" s="1"/>
  <c r="I13" i="2"/>
  <c r="K13" i="2" s="1"/>
  <c r="I14" i="2"/>
  <c r="K14" i="2" s="1"/>
  <c r="I15" i="2"/>
  <c r="K15" i="2" s="1"/>
  <c r="I16" i="2"/>
  <c r="K16" i="2" s="1"/>
  <c r="I17" i="2"/>
  <c r="K17" i="2" s="1"/>
  <c r="I18" i="2"/>
  <c r="K18" i="2" s="1"/>
  <c r="I19" i="2"/>
  <c r="K19" i="2" s="1"/>
  <c r="I20" i="2"/>
  <c r="K20" i="2" s="1"/>
  <c r="I21" i="2"/>
  <c r="K21" i="2" s="1"/>
  <c r="I22" i="2"/>
  <c r="K22" i="2" s="1"/>
  <c r="I23" i="2"/>
  <c r="K23" i="2" s="1"/>
  <c r="I24" i="2"/>
  <c r="K24" i="2" s="1"/>
  <c r="I25" i="2"/>
  <c r="K25" i="2" s="1"/>
  <c r="I26" i="2"/>
  <c r="K26" i="2" s="1"/>
  <c r="I27" i="2"/>
  <c r="K27" i="2" s="1"/>
  <c r="I28" i="2"/>
  <c r="K28" i="2" s="1"/>
  <c r="I29" i="2"/>
  <c r="K29" i="2" s="1"/>
  <c r="I30" i="2"/>
  <c r="K30" i="2" s="1"/>
  <c r="I31" i="2"/>
  <c r="K31" i="2" s="1"/>
  <c r="I32" i="2"/>
  <c r="K32" i="2" s="1"/>
  <c r="I33" i="2"/>
  <c r="K33" i="2" s="1"/>
  <c r="I34" i="2"/>
  <c r="K34" i="2" s="1"/>
  <c r="I35" i="2"/>
  <c r="K35" i="2" s="1"/>
  <c r="I36" i="2"/>
  <c r="K36" i="2" s="1"/>
  <c r="I37" i="2"/>
  <c r="K37" i="2" s="1"/>
  <c r="I38" i="2"/>
  <c r="K38" i="2" s="1"/>
  <c r="I39" i="2"/>
  <c r="K39" i="2" s="1"/>
  <c r="I40" i="2"/>
  <c r="K40" i="2" s="1"/>
  <c r="I41" i="2"/>
  <c r="K41" i="2" s="1"/>
  <c r="I42" i="2"/>
  <c r="K42" i="2" s="1"/>
  <c r="I43" i="2"/>
  <c r="K43" i="2" s="1"/>
  <c r="I44" i="2"/>
  <c r="K44" i="2" s="1"/>
  <c r="I45" i="2"/>
  <c r="K45" i="2" s="1"/>
  <c r="I46" i="2"/>
  <c r="K46" i="2" s="1"/>
  <c r="I47" i="2"/>
  <c r="K47" i="2" s="1"/>
  <c r="I48" i="2"/>
  <c r="K48" i="2" s="1"/>
  <c r="I49" i="2"/>
  <c r="K49" i="2" s="1"/>
  <c r="I50" i="2"/>
  <c r="K50" i="2" s="1"/>
  <c r="I51" i="2"/>
  <c r="K51" i="2" s="1"/>
  <c r="I52" i="2"/>
  <c r="K52" i="2" s="1"/>
  <c r="I53" i="2"/>
  <c r="K53" i="2" s="1"/>
  <c r="I54" i="2"/>
  <c r="K54" i="2" s="1"/>
  <c r="I55" i="2"/>
  <c r="K55" i="2" s="1"/>
  <c r="I56" i="2"/>
  <c r="K56" i="2" s="1"/>
  <c r="I57" i="2"/>
  <c r="K57" i="2" s="1"/>
  <c r="I58" i="2"/>
  <c r="K58" i="2" s="1"/>
  <c r="I59" i="2"/>
  <c r="K59" i="2" s="1"/>
  <c r="I60" i="2"/>
  <c r="K60" i="2" s="1"/>
  <c r="I61" i="2"/>
  <c r="K61" i="2" s="1"/>
  <c r="I62" i="2"/>
  <c r="K62" i="2" s="1"/>
  <c r="I63" i="2"/>
  <c r="K63" i="2" s="1"/>
  <c r="I64" i="2"/>
  <c r="K64" i="2" s="1"/>
  <c r="I65" i="2"/>
  <c r="K65" i="2" s="1"/>
  <c r="I66" i="2"/>
  <c r="K66" i="2" s="1"/>
  <c r="I67" i="2"/>
  <c r="K67" i="2" s="1"/>
  <c r="I68" i="2"/>
  <c r="K68" i="2" s="1"/>
  <c r="I69" i="2"/>
  <c r="K69" i="2" s="1"/>
  <c r="I70" i="2"/>
  <c r="K70" i="2" s="1"/>
  <c r="I3" i="2"/>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3" i="3"/>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3" i="2"/>
  <c r="P23" i="3"/>
  <c r="P26" i="3"/>
  <c r="P27" i="3"/>
  <c r="P28" i="3"/>
  <c r="P32" i="3"/>
  <c r="P33" i="3"/>
  <c r="P34" i="3"/>
  <c r="P35" i="3"/>
  <c r="P36" i="3"/>
  <c r="P43" i="3"/>
  <c r="P49" i="3"/>
  <c r="P50" i="3"/>
  <c r="P56" i="3"/>
  <c r="P57" i="3"/>
  <c r="P59" i="3"/>
  <c r="P60" i="3"/>
  <c r="P61" i="3"/>
  <c r="P62" i="3"/>
  <c r="P63" i="3"/>
  <c r="P64" i="3"/>
  <c r="P65" i="3"/>
  <c r="P66" i="3"/>
  <c r="P67" i="3"/>
  <c r="P68" i="3"/>
  <c r="P74" i="3"/>
  <c r="P76" i="3"/>
  <c r="P77" i="3"/>
  <c r="P78" i="3"/>
  <c r="P79" i="3"/>
  <c r="P80" i="3"/>
  <c r="P82" i="3"/>
  <c r="P89" i="3"/>
  <c r="P90" i="3"/>
  <c r="P91" i="3"/>
  <c r="P96" i="3"/>
  <c r="P97" i="3"/>
  <c r="P98" i="3"/>
  <c r="P99" i="3"/>
  <c r="P100" i="3"/>
  <c r="P101" i="3"/>
  <c r="P102" i="3"/>
  <c r="P108" i="3"/>
  <c r="P109" i="3"/>
  <c r="P110" i="3"/>
  <c r="P111" i="3"/>
  <c r="P112" i="3"/>
  <c r="P113" i="3"/>
  <c r="P114" i="3"/>
  <c r="P115" i="3"/>
  <c r="P116" i="3"/>
  <c r="P117" i="3"/>
  <c r="P118" i="3"/>
  <c r="P119" i="3"/>
  <c r="P122" i="3"/>
  <c r="P125" i="3"/>
  <c r="P126" i="3"/>
  <c r="P127" i="3"/>
  <c r="P128" i="3"/>
  <c r="N15" i="3"/>
  <c r="N23" i="3"/>
  <c r="N26" i="3"/>
  <c r="N27" i="3"/>
  <c r="N28" i="3"/>
  <c r="N32" i="3"/>
  <c r="N33" i="3"/>
  <c r="N34" i="3"/>
  <c r="N35" i="3"/>
  <c r="N36" i="3"/>
  <c r="N43" i="3"/>
  <c r="N49" i="3"/>
  <c r="N50" i="3"/>
  <c r="N56" i="3"/>
  <c r="N57" i="3"/>
  <c r="N59" i="3"/>
  <c r="N60" i="3"/>
  <c r="N61" i="3"/>
  <c r="N62" i="3"/>
  <c r="N63" i="3"/>
  <c r="N64" i="3"/>
  <c r="N65" i="3"/>
  <c r="N66" i="3"/>
  <c r="N67" i="3"/>
  <c r="N68" i="3"/>
  <c r="N74" i="3"/>
  <c r="N76" i="3"/>
  <c r="N77" i="3"/>
  <c r="N78" i="3"/>
  <c r="N79" i="3"/>
  <c r="N80" i="3"/>
  <c r="N82" i="3"/>
  <c r="N89" i="3"/>
  <c r="N90" i="3"/>
  <c r="N91" i="3"/>
  <c r="N96" i="3"/>
  <c r="N97" i="3"/>
  <c r="N98" i="3"/>
  <c r="N99" i="3"/>
  <c r="N100" i="3"/>
  <c r="N101" i="3"/>
  <c r="N102" i="3"/>
  <c r="N108" i="3"/>
  <c r="N109" i="3"/>
  <c r="N110" i="3"/>
  <c r="N111" i="3"/>
  <c r="N112" i="3"/>
  <c r="N113" i="3"/>
  <c r="N114" i="3"/>
  <c r="N115" i="3"/>
  <c r="N116" i="3"/>
  <c r="N117" i="3"/>
  <c r="N118" i="3"/>
  <c r="N119" i="3"/>
  <c r="N122" i="3"/>
  <c r="N125" i="3"/>
  <c r="N126" i="3"/>
  <c r="N127" i="3"/>
  <c r="N128" i="3"/>
  <c r="O23" i="3"/>
  <c r="O26" i="3"/>
  <c r="O27" i="3"/>
  <c r="O28" i="3"/>
  <c r="O32" i="3"/>
  <c r="O33" i="3"/>
  <c r="O34" i="3"/>
  <c r="O35" i="3"/>
  <c r="O36" i="3"/>
  <c r="O43" i="3"/>
  <c r="O49" i="3"/>
  <c r="O50" i="3"/>
  <c r="O56" i="3"/>
  <c r="O57" i="3"/>
  <c r="O59" i="3"/>
  <c r="O60" i="3"/>
  <c r="O61" i="3"/>
  <c r="O62" i="3"/>
  <c r="O63" i="3"/>
  <c r="O64" i="3"/>
  <c r="O65" i="3"/>
  <c r="O66" i="3"/>
  <c r="O67" i="3"/>
  <c r="O68" i="3"/>
  <c r="O74" i="3"/>
  <c r="O76" i="3"/>
  <c r="O77" i="3"/>
  <c r="O78" i="3"/>
  <c r="O79" i="3"/>
  <c r="O80" i="3"/>
  <c r="O82" i="3"/>
  <c r="O89" i="3"/>
  <c r="O90" i="3"/>
  <c r="O91" i="3"/>
  <c r="O96" i="3"/>
  <c r="O97" i="3"/>
  <c r="O98" i="3"/>
  <c r="O99" i="3"/>
  <c r="O100" i="3"/>
  <c r="O101" i="3"/>
  <c r="O102" i="3"/>
  <c r="O108" i="3"/>
  <c r="O109" i="3"/>
  <c r="O110" i="3"/>
  <c r="O111" i="3"/>
  <c r="O112" i="3"/>
  <c r="O113" i="3"/>
  <c r="O114" i="3"/>
  <c r="O115" i="3"/>
  <c r="O116" i="3"/>
  <c r="O117" i="3"/>
  <c r="O118" i="3"/>
  <c r="O119" i="3"/>
  <c r="O122" i="3"/>
  <c r="O125" i="3"/>
  <c r="O126" i="3"/>
  <c r="O127" i="3"/>
  <c r="O128" i="3"/>
  <c r="M23" i="3"/>
  <c r="M26" i="3"/>
  <c r="M27" i="3"/>
  <c r="Q27" i="3" s="1"/>
  <c r="M28" i="3"/>
  <c r="M32" i="3"/>
  <c r="Q32" i="3" s="1"/>
  <c r="M33" i="3"/>
  <c r="M34" i="3"/>
  <c r="Q34" i="3" s="1"/>
  <c r="M35" i="3"/>
  <c r="M36" i="3"/>
  <c r="Q36" i="3" s="1"/>
  <c r="J14" i="2" s="1"/>
  <c r="M43" i="3"/>
  <c r="M49" i="3"/>
  <c r="Q49" i="3" s="1"/>
  <c r="M50" i="3"/>
  <c r="M54" i="3"/>
  <c r="M56" i="3"/>
  <c r="Q56" i="3" s="1"/>
  <c r="M57" i="3"/>
  <c r="M59" i="3"/>
  <c r="Q59" i="3" s="1"/>
  <c r="J27" i="2" s="1"/>
  <c r="M60" i="3"/>
  <c r="M61" i="3"/>
  <c r="Q61" i="3" s="1"/>
  <c r="M62" i="3"/>
  <c r="M63" i="3"/>
  <c r="Q63" i="3" s="1"/>
  <c r="M64" i="3"/>
  <c r="M65" i="3"/>
  <c r="Q65" i="3" s="1"/>
  <c r="M66" i="3"/>
  <c r="M67" i="3"/>
  <c r="Q67" i="3" s="1"/>
  <c r="M68" i="3"/>
  <c r="M74" i="3"/>
  <c r="Q74" i="3" s="1"/>
  <c r="J36" i="2" s="1"/>
  <c r="M76" i="3"/>
  <c r="M77" i="3"/>
  <c r="M78" i="3"/>
  <c r="M79" i="3"/>
  <c r="Q79" i="3" s="1"/>
  <c r="M80" i="3"/>
  <c r="M82" i="3"/>
  <c r="M88" i="3"/>
  <c r="M89" i="3"/>
  <c r="Q89" i="3" s="1"/>
  <c r="J46" i="2" s="1"/>
  <c r="M46" i="2" s="1"/>
  <c r="M90" i="3"/>
  <c r="Q90" i="3" s="1"/>
  <c r="M91" i="3"/>
  <c r="Q91" i="3" s="1"/>
  <c r="M96" i="3"/>
  <c r="M97" i="3"/>
  <c r="Q97" i="3" s="1"/>
  <c r="M98" i="3"/>
  <c r="Q98" i="3" s="1"/>
  <c r="J52" i="2" s="1"/>
  <c r="M99" i="3"/>
  <c r="Q99" i="3" s="1"/>
  <c r="J53" i="2" s="1"/>
  <c r="M100" i="3"/>
  <c r="M101" i="3"/>
  <c r="M102" i="3"/>
  <c r="Q102" i="3" s="1"/>
  <c r="M108" i="3"/>
  <c r="Q108" i="3" s="1"/>
  <c r="J59" i="2" s="1"/>
  <c r="M109" i="3"/>
  <c r="Q109" i="3" s="1"/>
  <c r="M110" i="3"/>
  <c r="Q110" i="3" s="1"/>
  <c r="M111" i="3"/>
  <c r="M112" i="3"/>
  <c r="Q112" i="3" s="1"/>
  <c r="M113" i="3"/>
  <c r="Q113" i="3" s="1"/>
  <c r="M114" i="3"/>
  <c r="Q114" i="3" s="1"/>
  <c r="M115" i="3"/>
  <c r="M116" i="3"/>
  <c r="Q116" i="3" s="1"/>
  <c r="J63" i="2" s="1"/>
  <c r="M117" i="3"/>
  <c r="Q117" i="3" s="1"/>
  <c r="M118" i="3"/>
  <c r="Q118" i="3" s="1"/>
  <c r="J64" i="2" s="1"/>
  <c r="M119" i="3"/>
  <c r="M122" i="3"/>
  <c r="Q122" i="3" s="1"/>
  <c r="J68" i="2" s="1"/>
  <c r="M68" i="2" s="1"/>
  <c r="M123" i="3"/>
  <c r="M125" i="3"/>
  <c r="M126" i="3"/>
  <c r="M127" i="3"/>
  <c r="Q127" i="3" s="1"/>
  <c r="M128" i="3"/>
  <c r="Q128" i="3" s="1"/>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3" i="3"/>
  <c r="H14" i="3"/>
  <c r="P14" i="3" s="1"/>
  <c r="H15" i="3"/>
  <c r="P15" i="3" s="1"/>
  <c r="H16" i="3"/>
  <c r="O16" i="3" s="1"/>
  <c r="H17" i="3"/>
  <c r="P17" i="3" s="1"/>
  <c r="H18" i="3"/>
  <c r="P18" i="3" s="1"/>
  <c r="H19" i="3"/>
  <c r="O19" i="3" s="1"/>
  <c r="H20" i="3"/>
  <c r="O20" i="3" s="1"/>
  <c r="H21" i="3"/>
  <c r="I21" i="3" s="1"/>
  <c r="H22" i="3"/>
  <c r="P22" i="3" s="1"/>
  <c r="H23" i="3"/>
  <c r="H24" i="3"/>
  <c r="O24" i="3" s="1"/>
  <c r="H25" i="3"/>
  <c r="N25" i="3" s="1"/>
  <c r="H26" i="3"/>
  <c r="H27" i="3"/>
  <c r="H28" i="3"/>
  <c r="H29" i="3"/>
  <c r="M29" i="3" s="1"/>
  <c r="H30" i="3"/>
  <c r="P30" i="3" s="1"/>
  <c r="H31" i="3"/>
  <c r="P31" i="3" s="1"/>
  <c r="H32" i="3"/>
  <c r="H33" i="3"/>
  <c r="H34" i="3"/>
  <c r="H35" i="3"/>
  <c r="H36" i="3"/>
  <c r="H37" i="3"/>
  <c r="N37" i="3" s="1"/>
  <c r="H38" i="3"/>
  <c r="J38" i="3" s="1"/>
  <c r="H39" i="3"/>
  <c r="J39" i="3" s="1"/>
  <c r="H40" i="3"/>
  <c r="O40" i="3" s="1"/>
  <c r="H41" i="3"/>
  <c r="N41" i="3" s="1"/>
  <c r="H42" i="3"/>
  <c r="J42" i="3" s="1"/>
  <c r="H43" i="3"/>
  <c r="H44" i="3"/>
  <c r="N44" i="3" s="1"/>
  <c r="H45" i="3"/>
  <c r="O45" i="3" s="1"/>
  <c r="H46" i="3"/>
  <c r="N46" i="3" s="1"/>
  <c r="H47" i="3"/>
  <c r="N47" i="3" s="1"/>
  <c r="H48" i="3"/>
  <c r="P48" i="3" s="1"/>
  <c r="H49" i="3"/>
  <c r="H50" i="3"/>
  <c r="H51" i="3"/>
  <c r="O51" i="3" s="1"/>
  <c r="H52" i="3"/>
  <c r="N52" i="3" s="1"/>
  <c r="H53" i="3"/>
  <c r="I53" i="3" s="1"/>
  <c r="H54" i="3"/>
  <c r="N54" i="3" s="1"/>
  <c r="H55" i="3"/>
  <c r="M55" i="3" s="1"/>
  <c r="H56" i="3"/>
  <c r="H57" i="3"/>
  <c r="H58" i="3"/>
  <c r="J58" i="3" s="1"/>
  <c r="H59" i="3"/>
  <c r="H60" i="3"/>
  <c r="H61" i="3"/>
  <c r="H62" i="3"/>
  <c r="H63" i="3"/>
  <c r="H64" i="3"/>
  <c r="H65" i="3"/>
  <c r="H66" i="3"/>
  <c r="H67" i="3"/>
  <c r="H68" i="3"/>
  <c r="H69" i="3"/>
  <c r="O69" i="3" s="1"/>
  <c r="H70" i="3"/>
  <c r="N70" i="3" s="1"/>
  <c r="H71" i="3"/>
  <c r="P71" i="3" s="1"/>
  <c r="H72" i="3"/>
  <c r="P72" i="3" s="1"/>
  <c r="H73" i="3"/>
  <c r="O73" i="3" s="1"/>
  <c r="H74" i="3"/>
  <c r="H75" i="3"/>
  <c r="N75" i="3" s="1"/>
  <c r="H76" i="3"/>
  <c r="H77" i="3"/>
  <c r="H78" i="3"/>
  <c r="H79" i="3"/>
  <c r="H80" i="3"/>
  <c r="H81" i="3"/>
  <c r="P81" i="3" s="1"/>
  <c r="H82" i="3"/>
  <c r="H83" i="3"/>
  <c r="N83" i="3" s="1"/>
  <c r="H84" i="3"/>
  <c r="O84" i="3" s="1"/>
  <c r="H85" i="3"/>
  <c r="N85" i="3" s="1"/>
  <c r="H86" i="3"/>
  <c r="N86" i="3" s="1"/>
  <c r="H87" i="3"/>
  <c r="P87" i="3" s="1"/>
  <c r="H88" i="3"/>
  <c r="P88" i="3" s="1"/>
  <c r="H89" i="3"/>
  <c r="H90" i="3"/>
  <c r="H91" i="3"/>
  <c r="H92" i="3"/>
  <c r="M92" i="3" s="1"/>
  <c r="H93" i="3"/>
  <c r="N93" i="3" s="1"/>
  <c r="H94" i="3"/>
  <c r="N94" i="3" s="1"/>
  <c r="H95" i="3"/>
  <c r="P95" i="3" s="1"/>
  <c r="H96" i="3"/>
  <c r="H97" i="3"/>
  <c r="H98" i="3"/>
  <c r="H99" i="3"/>
  <c r="H100" i="3"/>
  <c r="H101" i="3"/>
  <c r="H102" i="3"/>
  <c r="H103" i="3"/>
  <c r="J103" i="3" s="1"/>
  <c r="H104" i="3"/>
  <c r="N104" i="3" s="1"/>
  <c r="H105" i="3"/>
  <c r="J105" i="3" s="1"/>
  <c r="H106" i="3"/>
  <c r="P106" i="3" s="1"/>
  <c r="H107" i="3"/>
  <c r="P107" i="3" s="1"/>
  <c r="H108" i="3"/>
  <c r="H109" i="3"/>
  <c r="H110" i="3"/>
  <c r="H111" i="3"/>
  <c r="H112" i="3"/>
  <c r="H113" i="3"/>
  <c r="H114" i="3"/>
  <c r="H115" i="3"/>
  <c r="H116" i="3"/>
  <c r="H117" i="3"/>
  <c r="H118" i="3"/>
  <c r="H119" i="3"/>
  <c r="H120" i="3"/>
  <c r="P120" i="3" s="1"/>
  <c r="H121" i="3"/>
  <c r="P121" i="3" s="1"/>
  <c r="H122" i="3"/>
  <c r="H123" i="3"/>
  <c r="N123" i="3" s="1"/>
  <c r="H124" i="3"/>
  <c r="N124" i="3" s="1"/>
  <c r="H125" i="3"/>
  <c r="H126" i="3"/>
  <c r="H127" i="3"/>
  <c r="H128" i="3"/>
  <c r="I23" i="3"/>
  <c r="I26" i="3"/>
  <c r="I27" i="3"/>
  <c r="I28" i="3"/>
  <c r="I32" i="3"/>
  <c r="I33" i="3"/>
  <c r="I34" i="3"/>
  <c r="I35" i="3"/>
  <c r="I36" i="3"/>
  <c r="I43" i="3"/>
  <c r="I47" i="3"/>
  <c r="I49" i="3"/>
  <c r="I50" i="3"/>
  <c r="I56" i="3"/>
  <c r="I57" i="3"/>
  <c r="I58" i="3"/>
  <c r="I59" i="3"/>
  <c r="I60" i="3"/>
  <c r="I61" i="3"/>
  <c r="I62" i="3"/>
  <c r="I63" i="3"/>
  <c r="I64" i="3"/>
  <c r="I65" i="3"/>
  <c r="I66" i="3"/>
  <c r="I67" i="3"/>
  <c r="I68" i="3"/>
  <c r="I70" i="3"/>
  <c r="I74" i="3"/>
  <c r="I75" i="3"/>
  <c r="I76" i="3"/>
  <c r="I77" i="3"/>
  <c r="I78" i="3"/>
  <c r="I79" i="3"/>
  <c r="I80" i="3"/>
  <c r="I82" i="3"/>
  <c r="I86" i="3"/>
  <c r="I89" i="3"/>
  <c r="I90" i="3"/>
  <c r="I91" i="3"/>
  <c r="I96" i="3"/>
  <c r="I97" i="3"/>
  <c r="I98" i="3"/>
  <c r="I99" i="3"/>
  <c r="I100" i="3"/>
  <c r="I101" i="3"/>
  <c r="I102" i="3"/>
  <c r="I107" i="3"/>
  <c r="I108" i="3"/>
  <c r="I109" i="3"/>
  <c r="I110" i="3"/>
  <c r="I111" i="3"/>
  <c r="I112" i="3"/>
  <c r="I113" i="3"/>
  <c r="I114" i="3"/>
  <c r="I115" i="3"/>
  <c r="I116" i="3"/>
  <c r="I117" i="3"/>
  <c r="I118" i="3"/>
  <c r="I119" i="3"/>
  <c r="I120" i="3"/>
  <c r="I121" i="3"/>
  <c r="I122" i="3"/>
  <c r="I123" i="3"/>
  <c r="I125" i="3"/>
  <c r="I126" i="3"/>
  <c r="I127" i="3"/>
  <c r="I128" i="3"/>
  <c r="J23" i="3"/>
  <c r="J26" i="3"/>
  <c r="J27" i="3"/>
  <c r="J28" i="3"/>
  <c r="J32" i="3"/>
  <c r="J33" i="3"/>
  <c r="J34" i="3"/>
  <c r="J35" i="3"/>
  <c r="J36" i="3"/>
  <c r="J43" i="3"/>
  <c r="J47" i="3"/>
  <c r="J48" i="3"/>
  <c r="J49" i="3"/>
  <c r="J50" i="3"/>
  <c r="J54" i="3"/>
  <c r="J56" i="3"/>
  <c r="J57" i="3"/>
  <c r="J59" i="3"/>
  <c r="J60" i="3"/>
  <c r="J61" i="3"/>
  <c r="J62" i="3"/>
  <c r="J63" i="3"/>
  <c r="J64" i="3"/>
  <c r="J65" i="3"/>
  <c r="J66" i="3"/>
  <c r="J67" i="3"/>
  <c r="J68" i="3"/>
  <c r="J70" i="3"/>
  <c r="J74" i="3"/>
  <c r="J76" i="3"/>
  <c r="J77" i="3"/>
  <c r="J78" i="3"/>
  <c r="J79" i="3"/>
  <c r="J80" i="3"/>
  <c r="J82" i="3"/>
  <c r="J89" i="3"/>
  <c r="J90" i="3"/>
  <c r="J91" i="3"/>
  <c r="J96" i="3"/>
  <c r="J97" i="3"/>
  <c r="J98" i="3"/>
  <c r="J99" i="3"/>
  <c r="J100" i="3"/>
  <c r="J101" i="3"/>
  <c r="J102" i="3"/>
  <c r="J104" i="3"/>
  <c r="J107" i="3"/>
  <c r="J108" i="3"/>
  <c r="J109" i="3"/>
  <c r="J110" i="3"/>
  <c r="J111" i="3"/>
  <c r="J112" i="3"/>
  <c r="J113" i="3"/>
  <c r="J114" i="3"/>
  <c r="J115" i="3"/>
  <c r="J116" i="3"/>
  <c r="J117" i="3"/>
  <c r="J118" i="3"/>
  <c r="J119" i="3"/>
  <c r="J120" i="3"/>
  <c r="J122" i="3"/>
  <c r="J125" i="3"/>
  <c r="J126" i="3"/>
  <c r="J127" i="3"/>
  <c r="J128" i="3"/>
  <c r="J60" i="2" l="1"/>
  <c r="Q78" i="3"/>
  <c r="J39" i="2" s="1"/>
  <c r="Q68" i="3"/>
  <c r="Q64" i="3"/>
  <c r="J30" i="2" s="1"/>
  <c r="M30" i="2" s="1"/>
  <c r="Q60" i="3"/>
  <c r="J28" i="2" s="1"/>
  <c r="Q50" i="3"/>
  <c r="J22" i="2" s="1"/>
  <c r="M22" i="2" s="1"/>
  <c r="Q35" i="3"/>
  <c r="Q28" i="3"/>
  <c r="J10" i="2" s="1"/>
  <c r="Q101" i="3"/>
  <c r="M64" i="2"/>
  <c r="M52" i="2"/>
  <c r="M36" i="2"/>
  <c r="M63" i="2"/>
  <c r="M59" i="2"/>
  <c r="M27" i="2"/>
  <c r="M60" i="2"/>
  <c r="M14" i="2"/>
  <c r="M33" i="2"/>
  <c r="M53" i="2"/>
  <c r="Q80" i="3"/>
  <c r="J40" i="2" s="1"/>
  <c r="Q76" i="3"/>
  <c r="Q66" i="3"/>
  <c r="Q62" i="3"/>
  <c r="J29" i="2" s="1"/>
  <c r="Q57" i="3"/>
  <c r="J25" i="2" s="1"/>
  <c r="M25" i="2" s="1"/>
  <c r="Q125" i="3"/>
  <c r="Q43" i="3"/>
  <c r="J18" i="2" s="1"/>
  <c r="M18" i="2" s="1"/>
  <c r="Q33" i="3"/>
  <c r="J13" i="2" s="1"/>
  <c r="Q26" i="3"/>
  <c r="J9" i="2" s="1"/>
  <c r="I69" i="3"/>
  <c r="M47" i="3"/>
  <c r="J30" i="3"/>
  <c r="I30" i="3"/>
  <c r="J22" i="3"/>
  <c r="J20" i="3"/>
  <c r="I20" i="3"/>
  <c r="I19" i="3"/>
  <c r="J19" i="3"/>
  <c r="J17" i="3"/>
  <c r="J15" i="3"/>
  <c r="I15" i="3"/>
  <c r="M15" i="3"/>
  <c r="J121" i="3"/>
  <c r="M103" i="3"/>
  <c r="M86" i="3"/>
  <c r="M72" i="3"/>
  <c r="M58" i="3"/>
  <c r="M53" i="3"/>
  <c r="M22" i="3"/>
  <c r="N121" i="3"/>
  <c r="M105" i="3"/>
  <c r="O105" i="3"/>
  <c r="M121" i="3"/>
  <c r="M70" i="3"/>
  <c r="M37" i="3"/>
  <c r="M20" i="3"/>
  <c r="O121" i="3"/>
  <c r="O72" i="3"/>
  <c r="N120" i="3"/>
  <c r="N53" i="3"/>
  <c r="P58" i="3"/>
  <c r="J123" i="3"/>
  <c r="J85" i="3"/>
  <c r="J73" i="3"/>
  <c r="I105" i="3"/>
  <c r="I25" i="3"/>
  <c r="I17" i="3"/>
  <c r="M120" i="3"/>
  <c r="M25" i="3"/>
  <c r="M17" i="3"/>
  <c r="O107" i="3"/>
  <c r="O53" i="3"/>
  <c r="N105" i="3"/>
  <c r="N58" i="3"/>
  <c r="N20" i="3"/>
  <c r="P105" i="3"/>
  <c r="P94" i="3"/>
  <c r="P86" i="3"/>
  <c r="P70" i="3"/>
  <c r="P47" i="3"/>
  <c r="Q119" i="3"/>
  <c r="J65" i="2" s="1"/>
  <c r="M65" i="2" s="1"/>
  <c r="Q115" i="3"/>
  <c r="J62" i="2" s="1"/>
  <c r="M62" i="2" s="1"/>
  <c r="Q111" i="3"/>
  <c r="J61" i="2" s="1"/>
  <c r="Q100" i="3"/>
  <c r="J54" i="2" s="1"/>
  <c r="M54" i="2" s="1"/>
  <c r="Q96" i="3"/>
  <c r="J51" i="2" s="1"/>
  <c r="M51" i="2" s="1"/>
  <c r="Q23" i="3"/>
  <c r="J6" i="2" s="1"/>
  <c r="M6" i="2" s="1"/>
  <c r="Q126" i="3"/>
  <c r="Q82" i="3"/>
  <c r="J42" i="2" s="1"/>
  <c r="M42" i="2" s="1"/>
  <c r="Q77" i="3"/>
  <c r="J124" i="3"/>
  <c r="I124" i="3"/>
  <c r="M124" i="3"/>
  <c r="P124" i="3"/>
  <c r="O124" i="3"/>
  <c r="P123" i="3"/>
  <c r="O123" i="3"/>
  <c r="Q123" i="3" s="1"/>
  <c r="O120" i="3"/>
  <c r="M107" i="3"/>
  <c r="N107" i="3"/>
  <c r="J106" i="3"/>
  <c r="N106" i="3"/>
  <c r="I106" i="3"/>
  <c r="M106" i="3"/>
  <c r="O106" i="3"/>
  <c r="I104" i="3"/>
  <c r="P104" i="3"/>
  <c r="M104" i="3"/>
  <c r="O104" i="3"/>
  <c r="O103" i="3"/>
  <c r="P103" i="3"/>
  <c r="I103" i="3"/>
  <c r="N103" i="3"/>
  <c r="O95" i="3"/>
  <c r="J95" i="3"/>
  <c r="I95" i="3"/>
  <c r="M95" i="3"/>
  <c r="N95" i="3"/>
  <c r="I94" i="3"/>
  <c r="M94" i="3"/>
  <c r="J94" i="3"/>
  <c r="O94" i="3"/>
  <c r="J93" i="3"/>
  <c r="P93" i="3"/>
  <c r="I93" i="3"/>
  <c r="M93" i="3"/>
  <c r="O93" i="3"/>
  <c r="O92" i="3"/>
  <c r="P92" i="3"/>
  <c r="I92" i="3"/>
  <c r="N92" i="3"/>
  <c r="J92" i="3"/>
  <c r="O88" i="3"/>
  <c r="J88" i="3"/>
  <c r="I88" i="3"/>
  <c r="N88" i="3"/>
  <c r="O87" i="3"/>
  <c r="J87" i="3"/>
  <c r="I87" i="3"/>
  <c r="M87" i="3"/>
  <c r="N87" i="3"/>
  <c r="J86" i="3"/>
  <c r="O86" i="3"/>
  <c r="I85" i="3"/>
  <c r="O85" i="3"/>
  <c r="P85" i="3"/>
  <c r="M85" i="3"/>
  <c r="J84" i="3"/>
  <c r="I84" i="3"/>
  <c r="N84" i="3"/>
  <c r="P84" i="3"/>
  <c r="M84" i="3"/>
  <c r="P83" i="3"/>
  <c r="O83" i="3"/>
  <c r="J83" i="3"/>
  <c r="I83" i="3"/>
  <c r="M83" i="3"/>
  <c r="O81" i="3"/>
  <c r="N81" i="3"/>
  <c r="J81" i="3"/>
  <c r="I81" i="3"/>
  <c r="M81" i="3"/>
  <c r="Q81" i="3" s="1"/>
  <c r="J41" i="2" s="1"/>
  <c r="J75" i="3"/>
  <c r="O75" i="3"/>
  <c r="P75" i="3"/>
  <c r="M75" i="3"/>
  <c r="N73" i="3"/>
  <c r="P73" i="3"/>
  <c r="I73" i="3"/>
  <c r="M73" i="3"/>
  <c r="I72" i="3"/>
  <c r="N72" i="3"/>
  <c r="Q72" i="3" s="1"/>
  <c r="J72" i="3"/>
  <c r="M71" i="3"/>
  <c r="N71" i="3"/>
  <c r="O71" i="3"/>
  <c r="J71" i="3"/>
  <c r="I71" i="3"/>
  <c r="O70" i="3"/>
  <c r="Q70" i="3" s="1"/>
  <c r="J33" i="2" s="1"/>
  <c r="N69" i="3"/>
  <c r="P69" i="3"/>
  <c r="J69" i="3"/>
  <c r="M69" i="3"/>
  <c r="O58" i="3"/>
  <c r="Q58" i="3" s="1"/>
  <c r="J26" i="2" s="1"/>
  <c r="M26" i="2" s="1"/>
  <c r="J55" i="3"/>
  <c r="N55" i="3"/>
  <c r="O55" i="3"/>
  <c r="P55" i="3"/>
  <c r="I55" i="3"/>
  <c r="P54" i="3"/>
  <c r="I54" i="3"/>
  <c r="O54" i="3"/>
  <c r="P53" i="3"/>
  <c r="J53" i="3"/>
  <c r="I52" i="3"/>
  <c r="J52" i="3"/>
  <c r="M52" i="3"/>
  <c r="O52" i="3"/>
  <c r="P52" i="3"/>
  <c r="P51" i="3"/>
  <c r="J51" i="3"/>
  <c r="N51" i="3"/>
  <c r="I51" i="3"/>
  <c r="M51" i="3"/>
  <c r="I48" i="3"/>
  <c r="M48" i="3"/>
  <c r="N48" i="3"/>
  <c r="O48" i="3"/>
  <c r="O47" i="3"/>
  <c r="I46" i="3"/>
  <c r="J46" i="3"/>
  <c r="O46" i="3"/>
  <c r="P46" i="3"/>
  <c r="M46" i="3"/>
  <c r="N45" i="3"/>
  <c r="J45" i="3"/>
  <c r="I45" i="3"/>
  <c r="P45" i="3"/>
  <c r="M45" i="3"/>
  <c r="O44" i="3"/>
  <c r="P44" i="3"/>
  <c r="J44" i="3"/>
  <c r="I44" i="3"/>
  <c r="M44" i="3"/>
  <c r="O42" i="3"/>
  <c r="N42" i="3"/>
  <c r="I42" i="3"/>
  <c r="M42" i="3"/>
  <c r="P42" i="3"/>
  <c r="I41" i="3"/>
  <c r="J41" i="3"/>
  <c r="O41" i="3"/>
  <c r="P41" i="3"/>
  <c r="M41" i="3"/>
  <c r="N40" i="3"/>
  <c r="P40" i="3"/>
  <c r="J40" i="3"/>
  <c r="I40" i="3"/>
  <c r="M40" i="3"/>
  <c r="I39" i="3"/>
  <c r="M39" i="3"/>
  <c r="O39" i="3"/>
  <c r="P39" i="3"/>
  <c r="N39" i="3"/>
  <c r="O38" i="3"/>
  <c r="N38" i="3"/>
  <c r="I38" i="3"/>
  <c r="M38" i="3"/>
  <c r="P38" i="3"/>
  <c r="I37" i="3"/>
  <c r="O37" i="3"/>
  <c r="P37" i="3"/>
  <c r="J37" i="3"/>
  <c r="J31" i="3"/>
  <c r="I31" i="3"/>
  <c r="O31" i="3"/>
  <c r="M31" i="3"/>
  <c r="N31" i="3"/>
  <c r="N30" i="3"/>
  <c r="M30" i="3"/>
  <c r="O30" i="3"/>
  <c r="I29" i="3"/>
  <c r="O29" i="3"/>
  <c r="N29" i="3"/>
  <c r="J29" i="3"/>
  <c r="P29" i="3"/>
  <c r="O25" i="3"/>
  <c r="P25" i="3"/>
  <c r="J25" i="3"/>
  <c r="I24" i="3"/>
  <c r="J24" i="3"/>
  <c r="M24" i="3"/>
  <c r="N24" i="3"/>
  <c r="P24" i="3"/>
  <c r="N22" i="3"/>
  <c r="I22" i="3"/>
  <c r="O22" i="3"/>
  <c r="O21" i="3"/>
  <c r="N21" i="3"/>
  <c r="M21" i="3"/>
  <c r="P21" i="3"/>
  <c r="J21" i="3"/>
  <c r="P20" i="3"/>
  <c r="P19" i="3"/>
  <c r="N19" i="3"/>
  <c r="M19" i="3"/>
  <c r="O18" i="3"/>
  <c r="J18" i="3"/>
  <c r="I18" i="3"/>
  <c r="M18" i="3"/>
  <c r="N18" i="3"/>
  <c r="O17" i="3"/>
  <c r="N17" i="3"/>
  <c r="I16" i="3"/>
  <c r="N16" i="3"/>
  <c r="M16" i="3"/>
  <c r="P16" i="3"/>
  <c r="J16" i="3"/>
  <c r="O15" i="3"/>
  <c r="Q15" i="3" s="1"/>
  <c r="I14" i="3"/>
  <c r="N14" i="3"/>
  <c r="J14" i="3"/>
  <c r="O14" i="3"/>
  <c r="M14" i="3"/>
  <c r="M39" i="2" l="1"/>
  <c r="M61" i="2"/>
  <c r="Q47" i="3"/>
  <c r="M28" i="2"/>
  <c r="J31" i="2"/>
  <c r="M31" i="2" s="1"/>
  <c r="M40" i="2"/>
  <c r="M13" i="2"/>
  <c r="M10" i="2"/>
  <c r="Q83" i="3"/>
  <c r="M9" i="2"/>
  <c r="M7" i="3"/>
  <c r="M10" i="3"/>
  <c r="M8" i="3"/>
  <c r="M9" i="3"/>
  <c r="M41" i="2"/>
  <c r="M29" i="2"/>
  <c r="J70" i="2"/>
  <c r="M70" i="2" s="1"/>
  <c r="J38" i="2"/>
  <c r="M38" i="2" s="1"/>
  <c r="Q94" i="3"/>
  <c r="J49" i="2" s="1"/>
  <c r="Q105" i="3"/>
  <c r="Q20" i="3"/>
  <c r="Q121" i="3"/>
  <c r="J67" i="2" s="1"/>
  <c r="M67" i="2" s="1"/>
  <c r="Q120" i="3"/>
  <c r="J66" i="2" s="1"/>
  <c r="M66" i="2" s="1"/>
  <c r="Q103" i="3"/>
  <c r="J55" i="2" s="1"/>
  <c r="M55" i="2" s="1"/>
  <c r="Q86" i="3"/>
  <c r="Q73" i="3"/>
  <c r="J35" i="2" s="1"/>
  <c r="Q71" i="3"/>
  <c r="J34" i="2" s="1"/>
  <c r="Q55" i="3"/>
  <c r="Q53" i="3"/>
  <c r="Q22" i="3"/>
  <c r="Q29" i="3"/>
  <c r="Q42" i="3"/>
  <c r="J17" i="2" s="1"/>
  <c r="Q51" i="3"/>
  <c r="Q54" i="3"/>
  <c r="J24" i="2" s="1"/>
  <c r="Q30" i="3"/>
  <c r="Q19" i="3"/>
  <c r="Q25" i="3"/>
  <c r="J8" i="2" s="1"/>
  <c r="Q37" i="3"/>
  <c r="J15" i="2" s="1"/>
  <c r="M15" i="2" s="1"/>
  <c r="Q40" i="3"/>
  <c r="Q45" i="3"/>
  <c r="Q69" i="3"/>
  <c r="J32" i="2" s="1"/>
  <c r="Q106" i="3"/>
  <c r="Q93" i="3"/>
  <c r="J48" i="2" s="1"/>
  <c r="Q85" i="3"/>
  <c r="Q92" i="3"/>
  <c r="J47" i="2" s="1"/>
  <c r="Q17" i="3"/>
  <c r="J4" i="2" s="1"/>
  <c r="Q46" i="3"/>
  <c r="J20" i="2" s="1"/>
  <c r="Q75" i="3"/>
  <c r="J37" i="2" s="1"/>
  <c r="M37" i="2" s="1"/>
  <c r="Q31" i="3"/>
  <c r="J12" i="2" s="1"/>
  <c r="Q87" i="3"/>
  <c r="Q88" i="3"/>
  <c r="J45" i="2" s="1"/>
  <c r="Q124" i="3"/>
  <c r="J69" i="2" s="1"/>
  <c r="Q107" i="3"/>
  <c r="J58" i="2" s="1"/>
  <c r="M58" i="2" s="1"/>
  <c r="Q104" i="3"/>
  <c r="J56" i="2" s="1"/>
  <c r="Q95" i="3"/>
  <c r="J50" i="2" s="1"/>
  <c r="Q84" i="3"/>
  <c r="Q52" i="3"/>
  <c r="Q48" i="3"/>
  <c r="J21" i="2" s="1"/>
  <c r="Q44" i="3"/>
  <c r="J19" i="2" s="1"/>
  <c r="Q41" i="3"/>
  <c r="Q39" i="3"/>
  <c r="Q38" i="3"/>
  <c r="Q24" i="3"/>
  <c r="J7" i="2" s="1"/>
  <c r="M7" i="2" s="1"/>
  <c r="Q21" i="3"/>
  <c r="Q18" i="3"/>
  <c r="Q16" i="3"/>
  <c r="Q14" i="3"/>
  <c r="M21" i="2" l="1"/>
  <c r="M35" i="2"/>
  <c r="M20" i="2"/>
  <c r="M56" i="2"/>
  <c r="M24" i="2"/>
  <c r="J43" i="2"/>
  <c r="M43" i="2" s="1"/>
  <c r="M19" i="2"/>
  <c r="M45" i="2"/>
  <c r="J16" i="2"/>
  <c r="M12" i="2"/>
  <c r="M47" i="2"/>
  <c r="M32" i="2"/>
  <c r="M8" i="2"/>
  <c r="J23" i="2"/>
  <c r="M23" i="2" s="1"/>
  <c r="M50" i="2"/>
  <c r="M48" i="2"/>
  <c r="J11" i="2"/>
  <c r="M11" i="2" s="1"/>
  <c r="M34" i="2"/>
  <c r="M49" i="2"/>
  <c r="M69" i="2"/>
  <c r="M4" i="2"/>
  <c r="J44" i="2"/>
  <c r="J5" i="2"/>
  <c r="M17" i="2"/>
  <c r="J57" i="2"/>
  <c r="H13" i="3"/>
  <c r="M5" i="2" l="1"/>
  <c r="M44" i="2"/>
  <c r="M57" i="2"/>
  <c r="M16" i="2"/>
  <c r="N13" i="3"/>
  <c r="I13" i="3"/>
  <c r="J13" i="3"/>
  <c r="P13" i="3"/>
  <c r="O13" i="3"/>
  <c r="P9" i="3" l="1"/>
  <c r="P7" i="3"/>
  <c r="P8" i="3"/>
  <c r="P10" i="3"/>
  <c r="O9" i="3"/>
  <c r="O7" i="3"/>
  <c r="O8" i="3"/>
  <c r="O10" i="3"/>
  <c r="Q13" i="3"/>
  <c r="J3" i="2" s="1"/>
  <c r="M3" i="2" s="1"/>
  <c r="N8" i="3"/>
  <c r="N10" i="3"/>
  <c r="N9" i="3"/>
  <c r="Q7" i="3" l="1"/>
  <c r="Q9" i="3"/>
  <c r="Q8" i="3"/>
  <c r="Q10" i="3"/>
</calcChain>
</file>

<file path=xl/sharedStrings.xml><?xml version="1.0" encoding="utf-8"?>
<sst xmlns="http://schemas.openxmlformats.org/spreadsheetml/2006/main" count="1485" uniqueCount="789">
  <si>
    <t>First Name</t>
  </si>
  <si>
    <t>Last Name</t>
  </si>
  <si>
    <t>Gender</t>
  </si>
  <si>
    <t>Position</t>
  </si>
  <si>
    <t>HELP Debt</t>
  </si>
  <si>
    <t>DOB</t>
  </si>
  <si>
    <t>Annual Income</t>
  </si>
  <si>
    <t>Jorja</t>
  </si>
  <si>
    <t>Arnott</t>
  </si>
  <si>
    <t>Female</t>
  </si>
  <si>
    <t>Xavier</t>
  </si>
  <si>
    <t>Benstead</t>
  </si>
  <si>
    <t>Male</t>
  </si>
  <si>
    <t>Custodial Engineer</t>
  </si>
  <si>
    <t>Abby</t>
  </si>
  <si>
    <t>Dennis</t>
  </si>
  <si>
    <t>Isaac</t>
  </si>
  <si>
    <t>Foelsche</t>
  </si>
  <si>
    <t>Claudia</t>
  </si>
  <si>
    <t>Philp</t>
  </si>
  <si>
    <t>Director</t>
  </si>
  <si>
    <t>Ellie</t>
  </si>
  <si>
    <t>Watson</t>
  </si>
  <si>
    <t>Child Care Leader</t>
  </si>
  <si>
    <t>Christian</t>
  </si>
  <si>
    <t>Tancred</t>
  </si>
  <si>
    <t>Madeline</t>
  </si>
  <si>
    <t>Strachan</t>
  </si>
  <si>
    <t>Taylah</t>
  </si>
  <si>
    <t>McMahon</t>
  </si>
  <si>
    <t>Sofia</t>
  </si>
  <si>
    <t>Goold-Adams</t>
  </si>
  <si>
    <t>Deputy Director</t>
  </si>
  <si>
    <t>Scarlett</t>
  </si>
  <si>
    <t>Seager</t>
  </si>
  <si>
    <t>Child Care Worker</t>
  </si>
  <si>
    <t>Sam</t>
  </si>
  <si>
    <t>Roth</t>
  </si>
  <si>
    <t>Rachel</t>
  </si>
  <si>
    <t>Mansergh</t>
  </si>
  <si>
    <t>Senior Accountant</t>
  </si>
  <si>
    <t>Nate</t>
  </si>
  <si>
    <t>Marian</t>
  </si>
  <si>
    <t>Alex</t>
  </si>
  <si>
    <t>Dakin</t>
  </si>
  <si>
    <t>Dumaresq</t>
  </si>
  <si>
    <t>Chef</t>
  </si>
  <si>
    <t>Indiana</t>
  </si>
  <si>
    <t>Gask</t>
  </si>
  <si>
    <t>Ryan</t>
  </si>
  <si>
    <t>Loch</t>
  </si>
  <si>
    <t>Alice</t>
  </si>
  <si>
    <t>Crawley</t>
  </si>
  <si>
    <t>Assistant Chef</t>
  </si>
  <si>
    <t>Mitchell</t>
  </si>
  <si>
    <t>Grimley</t>
  </si>
  <si>
    <t>Maddison</t>
  </si>
  <si>
    <t>Stump</t>
  </si>
  <si>
    <t>Junior Child Care Worker</t>
  </si>
  <si>
    <t>Mason</t>
  </si>
  <si>
    <t>Train</t>
  </si>
  <si>
    <t>Ashton</t>
  </si>
  <si>
    <t>Bethel</t>
  </si>
  <si>
    <t>Accountant</t>
  </si>
  <si>
    <t>Harry</t>
  </si>
  <si>
    <t>Lutwyche</t>
  </si>
  <si>
    <t>Victoria</t>
  </si>
  <si>
    <t>Lamond</t>
  </si>
  <si>
    <t>Mariam</t>
  </si>
  <si>
    <t>Betts</t>
  </si>
  <si>
    <t>Wrenfordsley</t>
  </si>
  <si>
    <t>Harrison</t>
  </si>
  <si>
    <t>McCallum</t>
  </si>
  <si>
    <t>Employer Superannuation</t>
  </si>
  <si>
    <t>Employee Superannuation</t>
  </si>
  <si>
    <t>Annual Tax</t>
  </si>
  <si>
    <t>HELP Withheld</t>
  </si>
  <si>
    <t>Net Salary</t>
  </si>
  <si>
    <t>Sunshine Employees &amp; Volunteers</t>
  </si>
  <si>
    <t>Family Code</t>
  </si>
  <si>
    <t>Family Name</t>
  </si>
  <si>
    <t>Parent/Guardian 1 Given Name</t>
  </si>
  <si>
    <t>Parent/Guardian 1 Family Name</t>
  </si>
  <si>
    <t>Parent/Guardian 2 Given Name</t>
  </si>
  <si>
    <t>Parent/Guardian 2 Family Name</t>
  </si>
  <si>
    <t>Family Income</t>
  </si>
  <si>
    <t>allman-03</t>
  </si>
  <si>
    <t>Allman</t>
  </si>
  <si>
    <t>Jessica</t>
  </si>
  <si>
    <t>Grant</t>
  </si>
  <si>
    <t>barclay-02</t>
  </si>
  <si>
    <t>Barclay</t>
  </si>
  <si>
    <t>Lucas</t>
  </si>
  <si>
    <t>Rosalie</t>
  </si>
  <si>
    <t>barnard-02</t>
  </si>
  <si>
    <t>Barnard</t>
  </si>
  <si>
    <t>Bethany</t>
  </si>
  <si>
    <t>Abrahamsson</t>
  </si>
  <si>
    <t>bernardini-02</t>
  </si>
  <si>
    <t>Bernardini</t>
  </si>
  <si>
    <t>Hiram</t>
  </si>
  <si>
    <t>Heather</t>
  </si>
  <si>
    <t>bruner-03</t>
  </si>
  <si>
    <t>Bruner</t>
  </si>
  <si>
    <t>Clarence</t>
  </si>
  <si>
    <t>Jill</t>
  </si>
  <si>
    <t>burke-02</t>
  </si>
  <si>
    <t>Burke</t>
  </si>
  <si>
    <t>Don</t>
  </si>
  <si>
    <t>Norma</t>
  </si>
  <si>
    <t>caya-02</t>
  </si>
  <si>
    <t>Caya</t>
  </si>
  <si>
    <t>Villette</t>
  </si>
  <si>
    <t>Claude</t>
  </si>
  <si>
    <t>Lundqvist</t>
  </si>
  <si>
    <t>chien-03</t>
  </si>
  <si>
    <t>Chien</t>
  </si>
  <si>
    <t>Hui</t>
  </si>
  <si>
    <t>Kuan-Yin</t>
  </si>
  <si>
    <t>Burger</t>
  </si>
  <si>
    <t>coburn-02</t>
  </si>
  <si>
    <t>Coburn</t>
  </si>
  <si>
    <t>Hannah</t>
  </si>
  <si>
    <t>Cedric</t>
  </si>
  <si>
    <t>course-01</t>
  </si>
  <si>
    <t>Course</t>
  </si>
  <si>
    <t>Astolpho</t>
  </si>
  <si>
    <t>Clemence</t>
  </si>
  <si>
    <t>crombie-03</t>
  </si>
  <si>
    <t>Crombie</t>
  </si>
  <si>
    <t>Justin</t>
  </si>
  <si>
    <t>Janis</t>
  </si>
  <si>
    <t>Phillips</t>
  </si>
  <si>
    <t>dastous-01</t>
  </si>
  <si>
    <t>Dastous</t>
  </si>
  <si>
    <t>Fletcher</t>
  </si>
  <si>
    <t>Sabine</t>
  </si>
  <si>
    <t>dorrington-01</t>
  </si>
  <si>
    <t>Dorrington</t>
  </si>
  <si>
    <t>Jacob</t>
  </si>
  <si>
    <t>duggan-03</t>
  </si>
  <si>
    <t>Duggan</t>
  </si>
  <si>
    <t>Jackson</t>
  </si>
  <si>
    <t>Marlene</t>
  </si>
  <si>
    <t>dumaresq-03</t>
  </si>
  <si>
    <t>Molly</t>
  </si>
  <si>
    <t>Erickson</t>
  </si>
  <si>
    <t>duranseau-01</t>
  </si>
  <si>
    <t>Duranseau</t>
  </si>
  <si>
    <t>Fleurette</t>
  </si>
  <si>
    <t>Arienne</t>
  </si>
  <si>
    <t>Dreher</t>
  </si>
  <si>
    <t>eatock-01</t>
  </si>
  <si>
    <t>Eatock</t>
  </si>
  <si>
    <t>Charlotte</t>
  </si>
  <si>
    <t>Robert</t>
  </si>
  <si>
    <t>edgerton-01</t>
  </si>
  <si>
    <t>Edgerton</t>
  </si>
  <si>
    <t>Kiara</t>
  </si>
  <si>
    <t>fantl-02</t>
  </si>
  <si>
    <t>Fantl</t>
  </si>
  <si>
    <t>Natasha</t>
  </si>
  <si>
    <t>farquhar-03</t>
  </si>
  <si>
    <t>Farquhar</t>
  </si>
  <si>
    <t>Margaret</t>
  </si>
  <si>
    <t>Billy</t>
  </si>
  <si>
    <t>fichter-02</t>
  </si>
  <si>
    <t>Fichter</t>
  </si>
  <si>
    <t>Peggy</t>
  </si>
  <si>
    <t>gallegos-03</t>
  </si>
  <si>
    <t>Gallegos</t>
  </si>
  <si>
    <t>Bertha</t>
  </si>
  <si>
    <t>Saville</t>
  </si>
  <si>
    <t>gallop-03</t>
  </si>
  <si>
    <t>Gallop</t>
  </si>
  <si>
    <t>Annabelle</t>
  </si>
  <si>
    <t>garreau-01</t>
  </si>
  <si>
    <t>Garreau</t>
  </si>
  <si>
    <t>Rene</t>
  </si>
  <si>
    <t>Olympia</t>
  </si>
  <si>
    <t>hertzog-03</t>
  </si>
  <si>
    <t>Hertzog</t>
  </si>
  <si>
    <t>Michael</t>
  </si>
  <si>
    <t>Lea</t>
  </si>
  <si>
    <t>isom-01</t>
  </si>
  <si>
    <t>Isom</t>
  </si>
  <si>
    <t>Natalie</t>
  </si>
  <si>
    <t>jackey-02</t>
  </si>
  <si>
    <t>Jackey</t>
  </si>
  <si>
    <t>Chelsea</t>
  </si>
  <si>
    <t>johann-01</t>
  </si>
  <si>
    <t>Johann</t>
  </si>
  <si>
    <t>Dominic</t>
  </si>
  <si>
    <t>Laura</t>
  </si>
  <si>
    <t>Edwards</t>
  </si>
  <si>
    <t>kamuta-01</t>
  </si>
  <si>
    <t>Kamuta</t>
  </si>
  <si>
    <t>Yuugou</t>
  </si>
  <si>
    <t>Hatomi</t>
  </si>
  <si>
    <t>kasai-03</t>
  </si>
  <si>
    <t>Kasai</t>
  </si>
  <si>
    <t>Kazumu</t>
  </si>
  <si>
    <t>Itsuyo</t>
  </si>
  <si>
    <t>kouno-01</t>
  </si>
  <si>
    <t>Kouno</t>
  </si>
  <si>
    <t>Genya</t>
  </si>
  <si>
    <t>Akari</t>
  </si>
  <si>
    <t>kraegen-01</t>
  </si>
  <si>
    <t>Kraegen</t>
  </si>
  <si>
    <t>langlais-02</t>
  </si>
  <si>
    <t>Langlais</t>
  </si>
  <si>
    <t>Danielle</t>
  </si>
  <si>
    <t>Voleta</t>
  </si>
  <si>
    <t>Ponce</t>
  </si>
  <si>
    <t>leveille-02</t>
  </si>
  <si>
    <t>Leveille</t>
  </si>
  <si>
    <t>Maurice</t>
  </si>
  <si>
    <t>Germaine</t>
  </si>
  <si>
    <t>marian-03</t>
  </si>
  <si>
    <t>Jai</t>
  </si>
  <si>
    <t>Jonas</t>
  </si>
  <si>
    <t>Lundgren</t>
  </si>
  <si>
    <t>mcguirk-03</t>
  </si>
  <si>
    <t>McGuirk</t>
  </si>
  <si>
    <t>Keira</t>
  </si>
  <si>
    <t>mckean-03</t>
  </si>
  <si>
    <t>McKean</t>
  </si>
  <si>
    <t>Julian</t>
  </si>
  <si>
    <t>moore-01</t>
  </si>
  <si>
    <t>Moore</t>
  </si>
  <si>
    <t>Rey</t>
  </si>
  <si>
    <t>George</t>
  </si>
  <si>
    <t>Chu</t>
  </si>
  <si>
    <t>mowery-02</t>
  </si>
  <si>
    <t>Mowery</t>
  </si>
  <si>
    <t>Adam</t>
  </si>
  <si>
    <t>Foerster</t>
  </si>
  <si>
    <t>nixon-03</t>
  </si>
  <si>
    <t>Nixon</t>
  </si>
  <si>
    <t>Bernie</t>
  </si>
  <si>
    <t>obrien-01</t>
  </si>
  <si>
    <t>Obrien</t>
  </si>
  <si>
    <t>Pat</t>
  </si>
  <si>
    <t>Sandra</t>
  </si>
  <si>
    <t>osburne-03</t>
  </si>
  <si>
    <t>Osburne</t>
  </si>
  <si>
    <t>Nicholas</t>
  </si>
  <si>
    <t>Jennifer</t>
  </si>
  <si>
    <t>pelensky-02</t>
  </si>
  <si>
    <t>Pelensky</t>
  </si>
  <si>
    <t>Lily</t>
  </si>
  <si>
    <t>Anthony</t>
  </si>
  <si>
    <t>pelsaert-03</t>
  </si>
  <si>
    <t>Pelsaert</t>
  </si>
  <si>
    <t>Herrmann</t>
  </si>
  <si>
    <t>penfold-02</t>
  </si>
  <si>
    <t>Penfold</t>
  </si>
  <si>
    <t>quynh-03</t>
  </si>
  <si>
    <t>Quynh</t>
  </si>
  <si>
    <t>Kim</t>
  </si>
  <si>
    <t>racine-03</t>
  </si>
  <si>
    <t>Racine</t>
  </si>
  <si>
    <t>Aceline</t>
  </si>
  <si>
    <t>Ogier</t>
  </si>
  <si>
    <t>Schmitt</t>
  </si>
  <si>
    <t>rawson-02</t>
  </si>
  <si>
    <t>Rawson</t>
  </si>
  <si>
    <t>Janet</t>
  </si>
  <si>
    <t>Bainton</t>
  </si>
  <si>
    <t>revell-02</t>
  </si>
  <si>
    <t>Revell</t>
  </si>
  <si>
    <t>robinson-03</t>
  </si>
  <si>
    <t>Robinson</t>
  </si>
  <si>
    <t>Kristin</t>
  </si>
  <si>
    <t>Kent</t>
  </si>
  <si>
    <t>rodway-03</t>
  </si>
  <si>
    <t>Rodway</t>
  </si>
  <si>
    <t>Austin</t>
  </si>
  <si>
    <t>rule-02</t>
  </si>
  <si>
    <t>Rule</t>
  </si>
  <si>
    <t>David</t>
  </si>
  <si>
    <t>Alaina</t>
  </si>
  <si>
    <t>scherer-03</t>
  </si>
  <si>
    <t>Scherer</t>
  </si>
  <si>
    <t>Niklas</t>
  </si>
  <si>
    <t>Leah</t>
  </si>
  <si>
    <t>seitz-01</t>
  </si>
  <si>
    <t>Seitz</t>
  </si>
  <si>
    <t>Patrick</t>
  </si>
  <si>
    <t>Frank</t>
  </si>
  <si>
    <t>Gordon</t>
  </si>
  <si>
    <t>shinosaki-02</t>
  </si>
  <si>
    <t>Shinosaki</t>
  </si>
  <si>
    <t>Shuuji</t>
  </si>
  <si>
    <t>Kiyone</t>
  </si>
  <si>
    <t>stirling-01</t>
  </si>
  <si>
    <t>Stirling</t>
  </si>
  <si>
    <t>Monika</t>
  </si>
  <si>
    <t>stopford-02</t>
  </si>
  <si>
    <t>Stopford</t>
  </si>
  <si>
    <t>Brodie</t>
  </si>
  <si>
    <t>sylvestre-01</t>
  </si>
  <si>
    <t>Sylvestre</t>
  </si>
  <si>
    <t>Moses</t>
  </si>
  <si>
    <t>Mary</t>
  </si>
  <si>
    <t>Meekin</t>
  </si>
  <si>
    <t>tabata-02</t>
  </si>
  <si>
    <t>Tabata</t>
  </si>
  <si>
    <t>Michie</t>
  </si>
  <si>
    <t>Yukihiro</t>
  </si>
  <si>
    <t>takayama-01</t>
  </si>
  <si>
    <t>Takayama</t>
  </si>
  <si>
    <t>Yukio</t>
  </si>
  <si>
    <t>Yumia</t>
  </si>
  <si>
    <t>tani-01</t>
  </si>
  <si>
    <t>Tani</t>
  </si>
  <si>
    <t>Itsumi</t>
  </si>
  <si>
    <t>Hyouma</t>
  </si>
  <si>
    <t>Kawamura</t>
  </si>
  <si>
    <t>tiller-02</t>
  </si>
  <si>
    <t>Tiller</t>
  </si>
  <si>
    <t>Simone</t>
  </si>
  <si>
    <t>Marina</t>
  </si>
  <si>
    <t>timbery-01</t>
  </si>
  <si>
    <t>Timbery</t>
  </si>
  <si>
    <t>Eden</t>
  </si>
  <si>
    <t>Ethan</t>
  </si>
  <si>
    <t>Bentley</t>
  </si>
  <si>
    <t>valencia-02</t>
  </si>
  <si>
    <t>Valencia</t>
  </si>
  <si>
    <t>Kathy</t>
  </si>
  <si>
    <t>Karine</t>
  </si>
  <si>
    <t>Ford</t>
  </si>
  <si>
    <t>watson-01</t>
  </si>
  <si>
    <t>Kyle</t>
  </si>
  <si>
    <t>Monique</t>
  </si>
  <si>
    <t>Creech</t>
  </si>
  <si>
    <t>winterbotham-03</t>
  </si>
  <si>
    <t>Winterbotham</t>
  </si>
  <si>
    <t>yoshihara-03</t>
  </si>
  <si>
    <t>Yoshihara</t>
  </si>
  <si>
    <t>Tomoka</t>
  </si>
  <si>
    <t>Fukashi</t>
  </si>
  <si>
    <t>Cheng</t>
  </si>
  <si>
    <t>yost-02</t>
  </si>
  <si>
    <t>Yost</t>
  </si>
  <si>
    <t>Ruby</t>
  </si>
  <si>
    <t>Salvador</t>
  </si>
  <si>
    <t>Nilsson</t>
  </si>
  <si>
    <t>Number of Children</t>
  </si>
  <si>
    <t>Weekly Hours</t>
  </si>
  <si>
    <t>Annual Cost</t>
  </si>
  <si>
    <t>Annual CCB</t>
  </si>
  <si>
    <t>Annual CCR</t>
  </si>
  <si>
    <t>Annual Payable</t>
  </si>
  <si>
    <t>Sunshine Families</t>
  </si>
  <si>
    <t>Child Code</t>
  </si>
  <si>
    <t>Given Name</t>
  </si>
  <si>
    <t>Days</t>
  </si>
  <si>
    <t>allman-03-05</t>
  </si>
  <si>
    <t>mon,tues,sat</t>
  </si>
  <si>
    <t>allman-03-04</t>
  </si>
  <si>
    <t>Regina</t>
  </si>
  <si>
    <t>allman-03-03</t>
  </si>
  <si>
    <t>Roxanne</t>
  </si>
  <si>
    <t>allman-03-02</t>
  </si>
  <si>
    <t>Jeffery</t>
  </si>
  <si>
    <t>barclay-02-02</t>
  </si>
  <si>
    <t>tues,wed</t>
  </si>
  <si>
    <t>barclay-02-01</t>
  </si>
  <si>
    <t>barnard-02-03</t>
  </si>
  <si>
    <t>Brandon</t>
  </si>
  <si>
    <t>fri,sat</t>
  </si>
  <si>
    <t>barnard-02-04</t>
  </si>
  <si>
    <t>barnard-02-02</t>
  </si>
  <si>
    <t>barnard-02-05</t>
  </si>
  <si>
    <t>bernardini-02-01</t>
  </si>
  <si>
    <t>Heath</t>
  </si>
  <si>
    <t>tues,wed,thurs,fri,sat</t>
  </si>
  <si>
    <t>bruner-03-01</t>
  </si>
  <si>
    <t>mon,tues,wed,sat</t>
  </si>
  <si>
    <t>burke-02-02</t>
  </si>
  <si>
    <t>Micael</t>
  </si>
  <si>
    <t>tues,thurs,fri,sat</t>
  </si>
  <si>
    <t>caya-02-01</t>
  </si>
  <si>
    <t>Zurie</t>
  </si>
  <si>
    <t>mon,thurs,fri</t>
  </si>
  <si>
    <t>chien-03-03</t>
  </si>
  <si>
    <t>Ju</t>
  </si>
  <si>
    <t>mon,tues,wed,thurs</t>
  </si>
  <si>
    <t>chien-03-02</t>
  </si>
  <si>
    <t>Yuan</t>
  </si>
  <si>
    <t>coburn-02-02</t>
  </si>
  <si>
    <t>Karen</t>
  </si>
  <si>
    <t>mon,thurs,fri,sat</t>
  </si>
  <si>
    <t>coburn-02-01</t>
  </si>
  <si>
    <t>Mack</t>
  </si>
  <si>
    <t>course-01-01</t>
  </si>
  <si>
    <t>Roux</t>
  </si>
  <si>
    <t>crombie-03-03</t>
  </si>
  <si>
    <t>Jerome</t>
  </si>
  <si>
    <t>mon,wed,thurs,fri,sat</t>
  </si>
  <si>
    <t>crombie-03-04</t>
  </si>
  <si>
    <t>Richard</t>
  </si>
  <si>
    <t>crombie-03-01</t>
  </si>
  <si>
    <t>Samantha</t>
  </si>
  <si>
    <t>crombie-03-02</t>
  </si>
  <si>
    <t>Joe</t>
  </si>
  <si>
    <t>dastous-01-01</t>
  </si>
  <si>
    <t>Fauna</t>
  </si>
  <si>
    <t>mon,tues,thurs,fri,sat</t>
  </si>
  <si>
    <t>dorrington-01-02</t>
  </si>
  <si>
    <t>Xander</t>
  </si>
  <si>
    <t>thurs</t>
  </si>
  <si>
    <t>duggan-03-02</t>
  </si>
  <si>
    <t>mon,thurs,sat</t>
  </si>
  <si>
    <t>duggan-03-03</t>
  </si>
  <si>
    <t>Shelly</t>
  </si>
  <si>
    <t>duggan-03-04</t>
  </si>
  <si>
    <t>duggan-03-05</t>
  </si>
  <si>
    <t>Charles</t>
  </si>
  <si>
    <t>dumaresq-03-01</t>
  </si>
  <si>
    <t>Howard</t>
  </si>
  <si>
    <t>mon,tues,fri,sat</t>
  </si>
  <si>
    <t>duranseau-01-01</t>
  </si>
  <si>
    <t>Yvon</t>
  </si>
  <si>
    <t>mon,wed,fri</t>
  </si>
  <si>
    <t>eatock-01-02</t>
  </si>
  <si>
    <t>Lena</t>
  </si>
  <si>
    <t>mon,fri,sat</t>
  </si>
  <si>
    <t>eatock-01-01</t>
  </si>
  <si>
    <t>edgerton-01-02</t>
  </si>
  <si>
    <t>fri</t>
  </si>
  <si>
    <t>fantl-02-02</t>
  </si>
  <si>
    <t>fantl-02-03</t>
  </si>
  <si>
    <t>Alannah</t>
  </si>
  <si>
    <t>farquhar-03-01</t>
  </si>
  <si>
    <t>Nathan</t>
  </si>
  <si>
    <t>mon,tues,fri</t>
  </si>
  <si>
    <t>farquhar-03-02</t>
  </si>
  <si>
    <t>John</t>
  </si>
  <si>
    <t>fichter-02-01</t>
  </si>
  <si>
    <t>Kelvin</t>
  </si>
  <si>
    <t>fichter-02-03</t>
  </si>
  <si>
    <t>Delia</t>
  </si>
  <si>
    <t>fichter-02-02</t>
  </si>
  <si>
    <t>Mark</t>
  </si>
  <si>
    <t>gallegos-03-01</t>
  </si>
  <si>
    <t>Callum</t>
  </si>
  <si>
    <t>gallegos-03-02</t>
  </si>
  <si>
    <t>gallop-03-02</t>
  </si>
  <si>
    <t>Isabelle</t>
  </si>
  <si>
    <t>tues,wed,thurs,fri</t>
  </si>
  <si>
    <t>gallop-03-03</t>
  </si>
  <si>
    <t>Tyler</t>
  </si>
  <si>
    <t>garreau-01-02</t>
  </si>
  <si>
    <t>Maurelle</t>
  </si>
  <si>
    <t>hertzog-03-01</t>
  </si>
  <si>
    <t>Jan</t>
  </si>
  <si>
    <t>isom-01-01</t>
  </si>
  <si>
    <t>Jordon</t>
  </si>
  <si>
    <t>jackey-02-02</t>
  </si>
  <si>
    <t>jackey-02-03</t>
  </si>
  <si>
    <t>johann-01-02</t>
  </si>
  <si>
    <t>Raison</t>
  </si>
  <si>
    <t>mon,tues,wed,thurs,fri</t>
  </si>
  <si>
    <t>johann-01-03</t>
  </si>
  <si>
    <t>Rohan</t>
  </si>
  <si>
    <t>kamuta-01-01</t>
  </si>
  <si>
    <t>Tsuyuha</t>
  </si>
  <si>
    <t>mon,tues,wed,fri</t>
  </si>
  <si>
    <t>kamuta-01-04</t>
  </si>
  <si>
    <t>Moeka</t>
  </si>
  <si>
    <t>kamuta-01-03</t>
  </si>
  <si>
    <t>Gakuto</t>
  </si>
  <si>
    <t>kamuta-01-02</t>
  </si>
  <si>
    <t>Sakio</t>
  </si>
  <si>
    <t>kasai-03-01</t>
  </si>
  <si>
    <t>Erisa</t>
  </si>
  <si>
    <t>mon,wed</t>
  </si>
  <si>
    <t>kouno-01-02</t>
  </si>
  <si>
    <t>Shima</t>
  </si>
  <si>
    <t>kraegen-01-01</t>
  </si>
  <si>
    <t>Josphine</t>
  </si>
  <si>
    <t>thurs,fri,sat</t>
  </si>
  <si>
    <t>langlais-02-02</t>
  </si>
  <si>
    <t>Henry</t>
  </si>
  <si>
    <t>langlais-02-03</t>
  </si>
  <si>
    <t>Courtland</t>
  </si>
  <si>
    <t>leveille-02-02</t>
  </si>
  <si>
    <t>Edmee</t>
  </si>
  <si>
    <t>mon,tues,wed,thurs,sat</t>
  </si>
  <si>
    <t>marian-03-02</t>
  </si>
  <si>
    <t>Sean</t>
  </si>
  <si>
    <t>thurs,sat</t>
  </si>
  <si>
    <t>mcguirk-03-01</t>
  </si>
  <si>
    <t>Donald</t>
  </si>
  <si>
    <t>mcguirk-03-02</t>
  </si>
  <si>
    <t>Barry</t>
  </si>
  <si>
    <t>mckean-03-02</t>
  </si>
  <si>
    <t>Alyssa</t>
  </si>
  <si>
    <t>moore-01-01</t>
  </si>
  <si>
    <t>moore-01-02</t>
  </si>
  <si>
    <t>Sonja</t>
  </si>
  <si>
    <t>mowery-02-01</t>
  </si>
  <si>
    <t>Jason</t>
  </si>
  <si>
    <t>mon,wed,thurs,sat</t>
  </si>
  <si>
    <t>nixon-03-02</t>
  </si>
  <si>
    <t>obrien-01-01</t>
  </si>
  <si>
    <t>Deborah</t>
  </si>
  <si>
    <t>mon,sat</t>
  </si>
  <si>
    <t>obrien-01-02</t>
  </si>
  <si>
    <t>Kevin</t>
  </si>
  <si>
    <t>osburne-03-02</t>
  </si>
  <si>
    <t>Abigail</t>
  </si>
  <si>
    <t>wed,fri,sat</t>
  </si>
  <si>
    <t>osburne-03-03</t>
  </si>
  <si>
    <t>Elizabeth</t>
  </si>
  <si>
    <t>osburne-03-01</t>
  </si>
  <si>
    <t>Ryder</t>
  </si>
  <si>
    <t>pelensky-02-02</t>
  </si>
  <si>
    <t>Jake</t>
  </si>
  <si>
    <t>thurs,fri</t>
  </si>
  <si>
    <t>pelsaert-03-02</t>
  </si>
  <si>
    <t>Sabrine</t>
  </si>
  <si>
    <t>mon,tues,thurs</t>
  </si>
  <si>
    <t>pelsaert-03-03</t>
  </si>
  <si>
    <t>Pamala</t>
  </si>
  <si>
    <t>pelsaert-03-04</t>
  </si>
  <si>
    <t>Bradley</t>
  </si>
  <si>
    <t>penfold-02-01</t>
  </si>
  <si>
    <t>Thomas</t>
  </si>
  <si>
    <t>mon,wed,sat</t>
  </si>
  <si>
    <t>quynh-03-02</t>
  </si>
  <si>
    <t>Tinh</t>
  </si>
  <si>
    <t>mon,tues</t>
  </si>
  <si>
    <t>racine-03-02</t>
  </si>
  <si>
    <t>wed,thurs</t>
  </si>
  <si>
    <t>rawson-02-01</t>
  </si>
  <si>
    <t>Bill</t>
  </si>
  <si>
    <t>tues,fri</t>
  </si>
  <si>
    <t>revell-02-02</t>
  </si>
  <si>
    <t>Scott</t>
  </si>
  <si>
    <t>tues,thurs,fri</t>
  </si>
  <si>
    <t>revell-02-03</t>
  </si>
  <si>
    <t>Andrew</t>
  </si>
  <si>
    <t>robinson-03-01</t>
  </si>
  <si>
    <t>Kimberly</t>
  </si>
  <si>
    <t>mon,wed,thurs</t>
  </si>
  <si>
    <t>rodway-03-02</t>
  </si>
  <si>
    <t>Angus</t>
  </si>
  <si>
    <t>rule-02-02</t>
  </si>
  <si>
    <t>Marcos</t>
  </si>
  <si>
    <t>rule-02-03</t>
  </si>
  <si>
    <t>Albert</t>
  </si>
  <si>
    <t>rule-02-04</t>
  </si>
  <si>
    <t>Wanda</t>
  </si>
  <si>
    <t>scherer-03-01</t>
  </si>
  <si>
    <t>Diana</t>
  </si>
  <si>
    <t>seitz-01-02</t>
  </si>
  <si>
    <t>Archer</t>
  </si>
  <si>
    <t>shinosaki-02-01</t>
  </si>
  <si>
    <t>Jin</t>
  </si>
  <si>
    <t>wed,thurs,fri,sat</t>
  </si>
  <si>
    <t>shinosaki-02-02</t>
  </si>
  <si>
    <t>Kiyoki</t>
  </si>
  <si>
    <t>stirling-01-01</t>
  </si>
  <si>
    <t>Oscar</t>
  </si>
  <si>
    <t>stopford-02-01</t>
  </si>
  <si>
    <t>Hudson</t>
  </si>
  <si>
    <t>mon,wed,thurs,fri</t>
  </si>
  <si>
    <t>sylvestre-01-02</t>
  </si>
  <si>
    <t>Brendan</t>
  </si>
  <si>
    <t>mon,tues,wed,thurs,fri,sat</t>
  </si>
  <si>
    <t>sylvestre-01-03</t>
  </si>
  <si>
    <t>Jane</t>
  </si>
  <si>
    <t>tabata-02-01</t>
  </si>
  <si>
    <t>Sei</t>
  </si>
  <si>
    <t>tabata-02-02</t>
  </si>
  <si>
    <t>Sato</t>
  </si>
  <si>
    <t>takayama-01-03</t>
  </si>
  <si>
    <t>Makito</t>
  </si>
  <si>
    <t>takayama-01-02</t>
  </si>
  <si>
    <t>Tomo</t>
  </si>
  <si>
    <t>takayama-01-01</t>
  </si>
  <si>
    <t>Issei</t>
  </si>
  <si>
    <t>tani-01-03</t>
  </si>
  <si>
    <t>Takato</t>
  </si>
  <si>
    <t>tani-01-02</t>
  </si>
  <si>
    <t>Nina</t>
  </si>
  <si>
    <t>tiller-02-02</t>
  </si>
  <si>
    <t>timbery-01-02</t>
  </si>
  <si>
    <t>Timothy</t>
  </si>
  <si>
    <t>tues,wed,thurs</t>
  </si>
  <si>
    <t>valencia-02-02</t>
  </si>
  <si>
    <t>watson-01-01</t>
  </si>
  <si>
    <t>William</t>
  </si>
  <si>
    <t>wed</t>
  </si>
  <si>
    <t>winterbotham-03-02</t>
  </si>
  <si>
    <t>yoshihara-03-01</t>
  </si>
  <si>
    <t>Ei</t>
  </si>
  <si>
    <t>yoshihara-03-02</t>
  </si>
  <si>
    <t>Ayuka</t>
  </si>
  <si>
    <t>yost-02-02</t>
  </si>
  <si>
    <t>Cynthia</t>
  </si>
  <si>
    <t>yost-02-03</t>
  </si>
  <si>
    <t>Juan</t>
  </si>
  <si>
    <t>yost-02-04</t>
  </si>
  <si>
    <t>Catherine</t>
  </si>
  <si>
    <t>yost-02-05</t>
  </si>
  <si>
    <t>Angelica</t>
  </si>
  <si>
    <t>Age</t>
  </si>
  <si>
    <t>Initial Room</t>
  </si>
  <si>
    <t>Final Room</t>
  </si>
  <si>
    <t>Number of Days</t>
  </si>
  <si>
    <t>Weekday String</t>
  </si>
  <si>
    <t>Weekday Cost Pre Birthday</t>
  </si>
  <si>
    <t>Saturday Cost Pre Birthday</t>
  </si>
  <si>
    <t>Weekday Cost Post Birthday</t>
  </si>
  <si>
    <t>Saturday Cost Post Birthday</t>
  </si>
  <si>
    <t>Sunshine Children</t>
  </si>
  <si>
    <t>Sunshine Investment Planning</t>
  </si>
  <si>
    <t>Account</t>
  </si>
  <si>
    <t>Investment</t>
  </si>
  <si>
    <t>Return</t>
  </si>
  <si>
    <t>Matuarity</t>
  </si>
  <si>
    <t>Risk Rating</t>
  </si>
  <si>
    <t>Tax-Free</t>
  </si>
  <si>
    <t>West Brisbane Finance</t>
  </si>
  <si>
    <t>Central Brisbane Finance</t>
  </si>
  <si>
    <t>North Brisbane Finance</t>
  </si>
  <si>
    <t>East Brisbane Finance</t>
  </si>
  <si>
    <t>South Brisbane Finance</t>
  </si>
  <si>
    <t>Short</t>
  </si>
  <si>
    <t>Long</t>
  </si>
  <si>
    <t>Low</t>
  </si>
  <si>
    <t>Yes</t>
  </si>
  <si>
    <t>High</t>
  </si>
  <si>
    <t>No</t>
  </si>
  <si>
    <t>Total Investments</t>
  </si>
  <si>
    <t>Total Short Term</t>
  </si>
  <si>
    <t>Total High Risk</t>
  </si>
  <si>
    <t>Total Tax Free</t>
  </si>
  <si>
    <t>Available Funds</t>
  </si>
  <si>
    <t>Total Return</t>
  </si>
  <si>
    <t>Tax-Free Return</t>
  </si>
  <si>
    <t>Assignment Template</t>
  </si>
  <si>
    <t>Documentation</t>
  </si>
  <si>
    <t>Student Information</t>
  </si>
  <si>
    <t>Student ID</t>
  </si>
  <si>
    <t>Tip: To switch to the next line in one cell, use the key combination 'Alt+Enter'.</t>
  </si>
  <si>
    <t>Sunshine Childcare</t>
  </si>
  <si>
    <t>BISM7202 Assignment - Semester 1, 2018</t>
  </si>
  <si>
    <r>
      <rPr>
        <b/>
        <sz val="12"/>
        <color theme="1"/>
        <rFont val="Calibri"/>
        <family val="2"/>
        <scheme val="minor"/>
      </rPr>
      <t>Note</t>
    </r>
    <r>
      <rPr>
        <sz val="12"/>
        <color theme="1"/>
        <rFont val="Calibri"/>
        <family val="2"/>
        <scheme val="minor"/>
      </rPr>
      <t>: Student numbers are eight digits and do not begin with an 's'.</t>
    </r>
  </si>
  <si>
    <t>Tax Table</t>
  </si>
  <si>
    <t>Income</t>
  </si>
  <si>
    <t>Fixed Tax</t>
  </si>
  <si>
    <t>Tax Percentage</t>
  </si>
  <si>
    <t>Employer Superannuation Contribution</t>
  </si>
  <si>
    <t>Percentage</t>
  </si>
  <si>
    <t>Employee Superannuation Contribution</t>
  </si>
  <si>
    <t>Child Care Rooms</t>
  </si>
  <si>
    <t>Rooms</t>
  </si>
  <si>
    <t>HELP Repayment Table</t>
  </si>
  <si>
    <t>Repayable Income</t>
  </si>
  <si>
    <t>Repayment Rate</t>
  </si>
  <si>
    <t>Family Child Care Info</t>
  </si>
  <si>
    <t>CCB Max Hours</t>
  </si>
  <si>
    <t>CCB Hourly Rate</t>
  </si>
  <si>
    <t>CCB Threshold</t>
  </si>
  <si>
    <t>CCB Threshold Modifier</t>
  </si>
  <si>
    <t>CCR Rate</t>
  </si>
  <si>
    <t>CCR Max</t>
  </si>
  <si>
    <t>Holidays</t>
  </si>
  <si>
    <t>New Year's Day</t>
  </si>
  <si>
    <t>Australia Day</t>
  </si>
  <si>
    <t>Good Friday</t>
  </si>
  <si>
    <t>Easter Saturday</t>
  </si>
  <si>
    <t>Easter Sunday</t>
  </si>
  <si>
    <t>Easter Monday</t>
  </si>
  <si>
    <t>Anzac Day</t>
  </si>
  <si>
    <t>Labour Day</t>
  </si>
  <si>
    <t>Ekka Wednesday</t>
  </si>
  <si>
    <t>Queen's Birthday</t>
  </si>
  <si>
    <t>Christmas Day</t>
  </si>
  <si>
    <t>Boxing Day</t>
  </si>
  <si>
    <t>Child Care Costs</t>
  </si>
  <si>
    <t>Day Rate</t>
  </si>
  <si>
    <t>Saturday Penalty</t>
  </si>
  <si>
    <t>Not Allowed</t>
  </si>
  <si>
    <t>Total</t>
  </si>
  <si>
    <t>Minimum</t>
  </si>
  <si>
    <t>Average</t>
  </si>
  <si>
    <t>Maximum</t>
  </si>
  <si>
    <t>Volunteer Carer</t>
  </si>
  <si>
    <t>Number of Children By Age</t>
  </si>
  <si>
    <t>Change</t>
  </si>
  <si>
    <t>Number of Children after change</t>
  </si>
  <si>
    <t>Average Number of Weekdays Per Week</t>
  </si>
  <si>
    <t>Scenarios</t>
  </si>
  <si>
    <t>Current</t>
  </si>
  <si>
    <t>Mild Increase</t>
  </si>
  <si>
    <t>Medium Increase</t>
  </si>
  <si>
    <t>Major Increase</t>
  </si>
  <si>
    <t>Attends Saturday</t>
  </si>
  <si>
    <t>Platypus Room</t>
  </si>
  <si>
    <t>Emu Room</t>
  </si>
  <si>
    <t>Koala Room</t>
  </si>
  <si>
    <t>Kangaroo Room</t>
  </si>
  <si>
    <t>Grand Total</t>
  </si>
  <si>
    <t/>
  </si>
  <si>
    <t>Initial Number of Male and Female in Sunshine Childcare Rooms</t>
  </si>
  <si>
    <t>Average Days</t>
  </si>
  <si>
    <t>Saturday</t>
  </si>
  <si>
    <t>Created by John on 5/19/2018</t>
  </si>
  <si>
    <t>Changing Cells:</t>
  </si>
  <si>
    <t>Result Cells:</t>
  </si>
  <si>
    <t>Change Rate in Number of Student</t>
  </si>
  <si>
    <t>Average Weekday Attendence</t>
  </si>
  <si>
    <t>Average Saturday Attendence</t>
  </si>
  <si>
    <t>Number of 0 year old children</t>
  </si>
  <si>
    <t>Number of 1 year old children</t>
  </si>
  <si>
    <t>Number of 3 years old children</t>
  </si>
  <si>
    <t>Number of 4 years old children</t>
  </si>
  <si>
    <t>Number of 5 years old children</t>
  </si>
  <si>
    <t>Number of 2 years old children</t>
  </si>
  <si>
    <t>Income from 0 year old children</t>
  </si>
  <si>
    <t>Income from 1 year old children</t>
  </si>
  <si>
    <t>Income from 2 years old children</t>
  </si>
  <si>
    <t>Income from 3 years old children</t>
  </si>
  <si>
    <t>Income from 4 years old children</t>
  </si>
  <si>
    <t>Income from 5 years old children</t>
  </si>
  <si>
    <t>Total Annual Income</t>
  </si>
  <si>
    <t>2019 Scenario Summary</t>
  </si>
  <si>
    <t>Microsoft Excel 16.0 Answer Report</t>
  </si>
  <si>
    <t>Worksheet: [ggwp.xlsx]Investment Planning</t>
  </si>
  <si>
    <t>Solver Engine</t>
  </si>
  <si>
    <t>Engine: GRG Nonlinear</t>
  </si>
  <si>
    <t>Solver Options</t>
  </si>
  <si>
    <t>Max Time Unlimited,  Iterations Unlimited, Precision 0.000001, Use Automatic Scaling</t>
  </si>
  <si>
    <t xml:space="preserve"> Convergence 0.0001, Population Size 100, Random Seed 0, Derivatives Forward, Require Bounds</t>
  </si>
  <si>
    <t>Max Subproblems Unlimited, Max Integer Sols Unlimited, Integer Tolerance 1%, Assume NonNegative</t>
  </si>
  <si>
    <t>Objective Cell (Max)</t>
  </si>
  <si>
    <t>Cell</t>
  </si>
  <si>
    <t>Name</t>
  </si>
  <si>
    <t>Original Value</t>
  </si>
  <si>
    <t>Final Value</t>
  </si>
  <si>
    <t>Variable Cells</t>
  </si>
  <si>
    <t>Integer</t>
  </si>
  <si>
    <t>Constraints</t>
  </si>
  <si>
    <t>Cell Value</t>
  </si>
  <si>
    <t>Formula</t>
  </si>
  <si>
    <t>Status</t>
  </si>
  <si>
    <t>Slack</t>
  </si>
  <si>
    <t>$C$13</t>
  </si>
  <si>
    <t>Total Return Return</t>
  </si>
  <si>
    <t>$B$3</t>
  </si>
  <si>
    <t>Central Brisbane Finance Investment</t>
  </si>
  <si>
    <t>Contin</t>
  </si>
  <si>
    <t>$B$4</t>
  </si>
  <si>
    <t>North Brisbane Finance Investment</t>
  </si>
  <si>
    <t>$B$5</t>
  </si>
  <si>
    <t>East Brisbane Finance Investment</t>
  </si>
  <si>
    <t>$B$6</t>
  </si>
  <si>
    <t>South Brisbane Finance Investment</t>
  </si>
  <si>
    <t>$B$7</t>
  </si>
  <si>
    <t>West Brisbane Finance Investment</t>
  </si>
  <si>
    <t>$B$9</t>
  </si>
  <si>
    <t>Total Investments Investment</t>
  </si>
  <si>
    <t>$B$9&lt;=$B$11</t>
  </si>
  <si>
    <t>Binding</t>
  </si>
  <si>
    <t>$E$9</t>
  </si>
  <si>
    <t>$E$9&gt;=0.5 * $B$11</t>
  </si>
  <si>
    <t>$G$9</t>
  </si>
  <si>
    <t>$G$9&lt;=0.5 * $B$11</t>
  </si>
  <si>
    <t>$I$13</t>
  </si>
  <si>
    <t>$I$13&gt;=0.3 * $C$13</t>
  </si>
  <si>
    <t>Report Created: 5/19/2018 4:12:47 PM</t>
  </si>
  <si>
    <t>Result: Solver has converged to the current solution.  All Constraints are satisfied.</t>
  </si>
  <si>
    <t>Solution Time: 0.234 Seconds.</t>
  </si>
  <si>
    <t>Iterations: 10 Subproblems: 0</t>
  </si>
  <si>
    <t>Not Binding</t>
  </si>
  <si>
    <t>$I$9</t>
  </si>
  <si>
    <t>$I$9&gt;=0.3 * $B$11</t>
  </si>
  <si>
    <t>Kyaw</t>
  </si>
  <si>
    <t>Pyae Phyo</t>
  </si>
  <si>
    <t>&gt;=5</t>
  </si>
  <si>
    <t>Assumptions</t>
  </si>
  <si>
    <t>Replace all pre-defined name ranges that were linking to another workbook with new name ranges.
Child birthday is calculated in pre-birthday cost.
Advance filtering criteria apply to both the database and the database function table (total,min,avg,max).
Average Weekdays from 2019 Planner is constant for throughout the year. (No reduction for holidays)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</si>
</sst>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0.0%"/>
  </numFmts>
  <fonts count="9" x14ac:knownFonts="1">
    <font>
      <sz val="12"/>
      <color theme="1"/>
      <name val="Calibri"/>
      <family val="2"/>
      <scheme val="minor"/>
    </font>
    <font>
      <b/>
      <sz val="12"/>
      <color theme="1"/>
      <name val="Calibri"/>
      <family val="2"/>
      <scheme val="minor"/>
    </font>
    <font>
      <sz val="12"/>
      <color theme="1"/>
      <name val="Calibri"/>
      <family val="2"/>
      <scheme val="minor"/>
    </font>
    <font>
      <b/>
      <sz val="14"/>
      <color indexed="9"/>
      <name val="Calibri"/>
      <family val="2"/>
      <scheme val="minor"/>
    </font>
    <font>
      <b/>
      <sz val="12"/>
      <color indexed="8"/>
      <name val="Calibri"/>
      <family val="2"/>
      <scheme val="minor"/>
    </font>
    <font>
      <b/>
      <sz val="12"/>
      <color indexed="18"/>
      <name val="Calibri"/>
      <family val="2"/>
      <scheme val="minor"/>
    </font>
    <font>
      <sz val="11"/>
      <color indexed="9"/>
      <name val="Calibri"/>
      <family val="2"/>
      <scheme val="minor"/>
    </font>
    <font>
      <sz val="8"/>
      <color theme="1"/>
      <name val="Calibri"/>
      <family val="2"/>
      <scheme val="minor"/>
    </font>
    <font>
      <b/>
      <sz val="12"/>
      <color indexed="18"/>
      <name val="Calibri"/>
      <family val="2"/>
      <scheme val="minor"/>
    </font>
  </fonts>
  <fills count="5">
    <fill>
      <patternFill patternType="none"/>
    </fill>
    <fill>
      <patternFill patternType="gray125"/>
    </fill>
    <fill>
      <patternFill patternType="solid">
        <fgColor indexed="20"/>
        <bgColor indexed="24"/>
      </patternFill>
    </fill>
    <fill>
      <patternFill patternType="solid">
        <fgColor indexed="22"/>
        <bgColor indexed="24"/>
      </patternFill>
    </fill>
    <fill>
      <patternFill patternType="solid">
        <fgColor indexed="22"/>
        <bgColor indexed="7"/>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top style="medium">
        <color indexed="64"/>
      </top>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right/>
      <top style="medium">
        <color indexed="23"/>
      </top>
      <bottom style="medium">
        <color indexed="23"/>
      </bottom>
      <diagonal/>
    </border>
    <border>
      <left/>
      <right/>
      <top style="thin">
        <color indexed="23"/>
      </top>
      <bottom style="medium">
        <color indexed="23"/>
      </bottom>
      <diagonal/>
    </border>
    <border>
      <left/>
      <right/>
      <top style="thin">
        <color indexed="23"/>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4">
    <xf numFmtId="0" fontId="0" fillId="0" borderId="0"/>
    <xf numFmtId="44" fontId="2" fillId="0" borderId="0" applyFont="0" applyFill="0" applyBorder="0" applyAlignment="0" applyProtection="0"/>
    <xf numFmtId="0" fontId="2" fillId="0" borderId="0"/>
    <xf numFmtId="9" fontId="2" fillId="0" borderId="0" applyFont="0" applyFill="0" applyBorder="0" applyAlignment="0" applyProtection="0"/>
  </cellStyleXfs>
  <cellXfs count="66">
    <xf numFmtId="0" fontId="0" fillId="0" borderId="0" xfId="0"/>
    <xf numFmtId="0" fontId="1" fillId="0" borderId="1" xfId="0" applyFont="1" applyBorder="1"/>
    <xf numFmtId="0" fontId="0" fillId="0" borderId="1" xfId="0" applyBorder="1"/>
    <xf numFmtId="0" fontId="0" fillId="0" borderId="1" xfId="0" applyNumberFormat="1" applyBorder="1"/>
    <xf numFmtId="0" fontId="1" fillId="0" borderId="1" xfId="0" applyFont="1" applyFill="1" applyBorder="1"/>
    <xf numFmtId="0" fontId="1" fillId="0" borderId="1" xfId="0" applyFont="1" applyBorder="1" applyAlignment="1">
      <alignment horizontal="center"/>
    </xf>
    <xf numFmtId="0" fontId="1" fillId="0" borderId="0" xfId="0" applyFont="1" applyBorder="1" applyAlignment="1">
      <alignment horizontal="center"/>
    </xf>
    <xf numFmtId="0" fontId="1" fillId="0" borderId="2" xfId="0" applyFont="1" applyBorder="1"/>
    <xf numFmtId="0" fontId="1" fillId="0" borderId="1" xfId="0" applyFont="1" applyBorder="1" applyAlignment="1">
      <alignment horizontal="right"/>
    </xf>
    <xf numFmtId="44" fontId="0" fillId="0" borderId="1" xfId="1" applyFont="1" applyBorder="1"/>
    <xf numFmtId="44" fontId="0" fillId="0" borderId="1" xfId="0" applyNumberFormat="1" applyBorder="1"/>
    <xf numFmtId="0" fontId="1" fillId="0" borderId="0" xfId="0" applyFont="1" applyBorder="1"/>
    <xf numFmtId="44" fontId="0" fillId="0" borderId="0" xfId="0" applyNumberFormat="1" applyBorder="1"/>
    <xf numFmtId="1" fontId="0" fillId="0" borderId="1" xfId="0" applyNumberFormat="1" applyBorder="1"/>
    <xf numFmtId="14" fontId="0" fillId="0" borderId="1" xfId="0" applyNumberFormat="1" applyBorder="1"/>
    <xf numFmtId="164" fontId="0" fillId="0" borderId="1" xfId="0" applyNumberFormat="1" applyBorder="1"/>
    <xf numFmtId="9" fontId="0" fillId="0" borderId="1" xfId="0" applyNumberFormat="1" applyBorder="1"/>
    <xf numFmtId="0" fontId="0" fillId="0" borderId="3" xfId="0" applyFill="1" applyBorder="1"/>
    <xf numFmtId="44" fontId="0" fillId="0" borderId="1" xfId="1" applyFont="1" applyFill="1" applyBorder="1"/>
    <xf numFmtId="14" fontId="0" fillId="0" borderId="0" xfId="0" applyNumberFormat="1" applyBorder="1"/>
    <xf numFmtId="0" fontId="0" fillId="0" borderId="0" xfId="0" applyBorder="1"/>
    <xf numFmtId="44" fontId="1" fillId="0" borderId="1" xfId="1" applyFont="1" applyBorder="1"/>
    <xf numFmtId="44" fontId="1" fillId="0" borderId="0" xfId="1" applyFont="1" applyBorder="1" applyAlignment="1">
      <alignment horizontal="center"/>
    </xf>
    <xf numFmtId="44" fontId="1" fillId="0" borderId="2" xfId="1" applyFont="1" applyBorder="1"/>
    <xf numFmtId="44" fontId="1" fillId="0" borderId="1" xfId="1" applyFont="1" applyBorder="1" applyAlignment="1">
      <alignment horizontal="center"/>
    </xf>
    <xf numFmtId="44" fontId="0" fillId="0" borderId="0" xfId="1" applyFont="1"/>
    <xf numFmtId="14" fontId="1" fillId="0" borderId="1" xfId="0" applyNumberFormat="1" applyFont="1" applyBorder="1"/>
    <xf numFmtId="14" fontId="1" fillId="0" borderId="0" xfId="0" applyNumberFormat="1" applyFont="1" applyBorder="1" applyAlignment="1">
      <alignment horizontal="center"/>
    </xf>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1" fontId="0" fillId="0" borderId="0" xfId="0" applyNumberFormat="1" applyAlignment="1">
      <alignment horizontal="left" indent="1"/>
    </xf>
    <xf numFmtId="44" fontId="0" fillId="0" borderId="1" xfId="1" applyFont="1" applyBorder="1" applyAlignment="1">
      <alignment wrapText="1"/>
    </xf>
    <xf numFmtId="44" fontId="1" fillId="0" borderId="0" xfId="0" applyNumberFormat="1" applyFont="1"/>
    <xf numFmtId="0" fontId="2" fillId="0" borderId="0" xfId="2"/>
    <xf numFmtId="9" fontId="0" fillId="0" borderId="0" xfId="3" applyNumberFormat="1" applyFont="1" applyBorder="1"/>
    <xf numFmtId="9" fontId="0" fillId="0" borderId="0" xfId="3" applyFont="1" applyBorder="1"/>
    <xf numFmtId="0" fontId="3" fillId="2" borderId="6" xfId="0" applyFont="1" applyFill="1" applyBorder="1" applyAlignment="1">
      <alignment horizontal="left"/>
    </xf>
    <xf numFmtId="0" fontId="3" fillId="2" borderId="4" xfId="0" applyFont="1" applyFill="1" applyBorder="1" applyAlignment="1">
      <alignment horizontal="left"/>
    </xf>
    <xf numFmtId="0" fontId="0" fillId="0" borderId="7" xfId="0" applyFill="1" applyBorder="1" applyAlignment="1"/>
    <xf numFmtId="0" fontId="4" fillId="3" borderId="0" xfId="0" applyFont="1" applyFill="1" applyBorder="1" applyAlignment="1">
      <alignment horizontal="left"/>
    </xf>
    <xf numFmtId="0" fontId="5" fillId="3" borderId="7" xfId="0" applyFont="1" applyFill="1" applyBorder="1" applyAlignment="1">
      <alignment horizontal="left"/>
    </xf>
    <xf numFmtId="0" fontId="4" fillId="3" borderId="5" xfId="0" applyFont="1" applyFill="1" applyBorder="1" applyAlignment="1">
      <alignment horizontal="left"/>
    </xf>
    <xf numFmtId="0" fontId="6" fillId="2" borderId="4" xfId="0" applyFont="1" applyFill="1" applyBorder="1" applyAlignment="1">
      <alignment horizontal="right"/>
    </xf>
    <xf numFmtId="0" fontId="6" fillId="2" borderId="6" xfId="0" applyFont="1" applyFill="1" applyBorder="1" applyAlignment="1">
      <alignment horizontal="right"/>
    </xf>
    <xf numFmtId="0" fontId="7" fillId="0" borderId="0" xfId="0" applyFont="1" applyFill="1" applyBorder="1" applyAlignment="1">
      <alignment vertical="top" wrapText="1"/>
    </xf>
    <xf numFmtId="44" fontId="0" fillId="0" borderId="0" xfId="0" applyNumberFormat="1" applyFill="1" applyBorder="1" applyAlignment="1"/>
    <xf numFmtId="44" fontId="0" fillId="0" borderId="5" xfId="0" applyNumberFormat="1" applyFill="1" applyBorder="1" applyAlignment="1"/>
    <xf numFmtId="0" fontId="1" fillId="0" borderId="0" xfId="0" applyFont="1"/>
    <xf numFmtId="0" fontId="0" fillId="0" borderId="9" xfId="0" applyFill="1" applyBorder="1" applyAlignment="1"/>
    <xf numFmtId="0" fontId="8" fillId="0" borderId="8" xfId="0" applyFont="1" applyFill="1" applyBorder="1" applyAlignment="1">
      <alignment horizontal="center"/>
    </xf>
    <xf numFmtId="0" fontId="0" fillId="0" borderId="10" xfId="0" applyFill="1" applyBorder="1" applyAlignment="1"/>
    <xf numFmtId="0" fontId="0" fillId="0" borderId="9" xfId="0" applyNumberFormat="1" applyFill="1" applyBorder="1" applyAlignment="1"/>
    <xf numFmtId="0" fontId="0" fillId="0" borderId="10" xfId="0" applyNumberFormat="1" applyFill="1" applyBorder="1" applyAlignment="1"/>
    <xf numFmtId="0" fontId="1" fillId="0" borderId="1" xfId="0" applyFont="1" applyBorder="1" applyAlignment="1">
      <alignment horizontal="center"/>
    </xf>
    <xf numFmtId="0" fontId="0" fillId="0" borderId="1" xfId="0" applyBorder="1" applyAlignment="1">
      <alignment horizontal="center"/>
    </xf>
    <xf numFmtId="0" fontId="0" fillId="0" borderId="1" xfId="0" applyBorder="1" applyAlignment="1">
      <alignment horizontal="left" vertical="top" wrapText="1"/>
    </xf>
    <xf numFmtId="0" fontId="0" fillId="0" borderId="1" xfId="0" applyBorder="1" applyAlignment="1">
      <alignment horizontal="left" vertical="top"/>
    </xf>
    <xf numFmtId="0" fontId="0" fillId="0" borderId="1" xfId="0" applyBorder="1" applyAlignment="1">
      <alignment horizontal="left" vertical="center" wrapText="1"/>
    </xf>
    <xf numFmtId="0" fontId="1" fillId="0" borderId="12" xfId="0" applyFont="1" applyBorder="1" applyAlignment="1">
      <alignment horizontal="center"/>
    </xf>
    <xf numFmtId="0" fontId="1" fillId="0" borderId="13" xfId="0" applyFont="1" applyBorder="1" applyAlignment="1">
      <alignment horizontal="center"/>
    </xf>
    <xf numFmtId="0" fontId="1" fillId="0" borderId="11" xfId="0" applyFont="1" applyBorder="1" applyAlignment="1">
      <alignment horizontal="center"/>
    </xf>
    <xf numFmtId="1" fontId="0" fillId="4" borderId="0" xfId="0" applyNumberFormat="1" applyFill="1" applyBorder="1" applyAlignment="1"/>
    <xf numFmtId="1" fontId="0" fillId="0" borderId="7" xfId="0" applyNumberFormat="1" applyFill="1" applyBorder="1" applyAlignment="1"/>
    <xf numFmtId="1" fontId="0" fillId="0" borderId="0" xfId="0" applyNumberFormat="1" applyFill="1" applyBorder="1" applyAlignment="1"/>
  </cellXfs>
  <cellStyles count="4">
    <cellStyle name="Currency" xfId="1" builtinId="4"/>
    <cellStyle name="Normal" xfId="0" builtinId="0"/>
    <cellStyle name="Normal 2" xfId="2" xr:uid="{4FDF528B-6541-4E9F-8D9C-393E29603702}"/>
    <cellStyle name="Percent" xfId="3" builtinId="5"/>
  </cellStyles>
  <dxfs count="2">
    <dxf>
      <font>
        <color theme="9" tint="-0.24994659260841701"/>
      </font>
      <fill>
        <patternFill>
          <fgColor theme="9" tint="0.39994506668294322"/>
          <bgColor theme="9" tint="0.59996337778862885"/>
        </patternFill>
      </fill>
    </dxf>
    <dxf>
      <font>
        <color rgb="FFFF0000"/>
      </font>
      <fill>
        <patternFill>
          <bgColor theme="5" tint="0.59996337778862885"/>
        </patternFill>
      </fill>
    </dxf>
  </dxfs>
  <tableStyles count="0" defaultTableStyle="TableStyleMedium9" defaultPivotStyle="PivotStyleMedium7"/>
  <colors>
    <mruColors>
      <color rgb="FFF37035"/>
      <color rgb="FFF6A68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6.xml"/><Relationship Id="rId12"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chartsheet" Target="chartsheets/sheet1.xml"/><Relationship Id="rId11" Type="http://schemas.openxmlformats.org/officeDocument/2006/relationships/worksheet" Target="worksheets/sheet10.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9.xml"/><Relationship Id="rId4" Type="http://schemas.openxmlformats.org/officeDocument/2006/relationships/worksheet" Target="worksheets/sheet4.xml"/><Relationship Id="rId9" Type="http://schemas.openxmlformats.org/officeDocument/2006/relationships/worksheet" Target="worksheets/sheet8.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[BISM7202_Kyaw_45238952.xlsx.xlsx]ChildrenPivotTable!PivotTable9</c:name>
    <c:fmtId val="2"/>
  </c:pivotSource>
  <c:chart>
    <c:autoTitleDeleted val="0"/>
    <c:pivotFmts>
      <c:pivotFmt>
        <c:idx val="0"/>
      </c:pivotFmt>
      <c:pivotFmt>
        <c:idx val="1"/>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ChildrenPivotTable!$B$3:$B$4</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ChildrenPivotTable!$A$5:$A$15</c:f>
              <c:multiLvlStrCache>
                <c:ptCount val="6"/>
                <c:lvl>
                  <c:pt idx="0">
                    <c:v>2</c:v>
                  </c:pt>
                  <c:pt idx="1">
                    <c:v>4</c:v>
                  </c:pt>
                  <c:pt idx="2">
                    <c:v>5</c:v>
                  </c:pt>
                  <c:pt idx="3">
                    <c:v>3</c:v>
                  </c:pt>
                  <c:pt idx="4">
                    <c:v>0</c:v>
                  </c:pt>
                  <c:pt idx="5">
                    <c:v>1</c:v>
                  </c:pt>
                </c:lvl>
                <c:lvl>
                  <c:pt idx="0">
                    <c:v>Emu Room</c:v>
                  </c:pt>
                  <c:pt idx="1">
                    <c:v>Kangaroo Room</c:v>
                  </c:pt>
                  <c:pt idx="3">
                    <c:v>Koala Room</c:v>
                  </c:pt>
                  <c:pt idx="4">
                    <c:v>Platypus Room</c:v>
                  </c:pt>
                </c:lvl>
              </c:multiLvlStrCache>
            </c:multiLvlStrRef>
          </c:cat>
          <c:val>
            <c:numRef>
              <c:f>ChildrenPivotTable!$B$5:$B$15</c:f>
              <c:numCache>
                <c:formatCode>General</c:formatCode>
                <c:ptCount val="6"/>
                <c:pt idx="0">
                  <c:v>15</c:v>
                </c:pt>
                <c:pt idx="1">
                  <c:v>10</c:v>
                </c:pt>
                <c:pt idx="2">
                  <c:v>1</c:v>
                </c:pt>
                <c:pt idx="3">
                  <c:v>13</c:v>
                </c:pt>
                <c:pt idx="4">
                  <c:v>6</c:v>
                </c:pt>
                <c:pt idx="5">
                  <c:v>6</c:v>
                </c:pt>
              </c:numCache>
            </c:numRef>
          </c:val>
          <c:extLst>
            <c:ext xmlns:c16="http://schemas.microsoft.com/office/drawing/2014/chart" uri="{C3380CC4-5D6E-409C-BE32-E72D297353CC}">
              <c16:uniqueId val="{00000000-C697-4781-B759-9E95E2D6C5A6}"/>
            </c:ext>
          </c:extLst>
        </c:ser>
        <c:ser>
          <c:idx val="1"/>
          <c:order val="1"/>
          <c:tx>
            <c:strRef>
              <c:f>ChildrenPivotTable!$C$3:$C$4</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ChildrenPivotTable!$A$5:$A$15</c:f>
              <c:multiLvlStrCache>
                <c:ptCount val="6"/>
                <c:lvl>
                  <c:pt idx="0">
                    <c:v>2</c:v>
                  </c:pt>
                  <c:pt idx="1">
                    <c:v>4</c:v>
                  </c:pt>
                  <c:pt idx="2">
                    <c:v>5</c:v>
                  </c:pt>
                  <c:pt idx="3">
                    <c:v>3</c:v>
                  </c:pt>
                  <c:pt idx="4">
                    <c:v>0</c:v>
                  </c:pt>
                  <c:pt idx="5">
                    <c:v>1</c:v>
                  </c:pt>
                </c:lvl>
                <c:lvl>
                  <c:pt idx="0">
                    <c:v>Emu Room</c:v>
                  </c:pt>
                  <c:pt idx="1">
                    <c:v>Kangaroo Room</c:v>
                  </c:pt>
                  <c:pt idx="3">
                    <c:v>Koala Room</c:v>
                  </c:pt>
                  <c:pt idx="4">
                    <c:v>Platypus Room</c:v>
                  </c:pt>
                </c:lvl>
              </c:multiLvlStrCache>
            </c:multiLvlStrRef>
          </c:cat>
          <c:val>
            <c:numRef>
              <c:f>ChildrenPivotTable!$C$5:$C$15</c:f>
              <c:numCache>
                <c:formatCode>General</c:formatCode>
                <c:ptCount val="6"/>
                <c:pt idx="0">
                  <c:v>16</c:v>
                </c:pt>
                <c:pt idx="1">
                  <c:v>15</c:v>
                </c:pt>
                <c:pt idx="2">
                  <c:v>2</c:v>
                </c:pt>
                <c:pt idx="3">
                  <c:v>19</c:v>
                </c:pt>
                <c:pt idx="4">
                  <c:v>7</c:v>
                </c:pt>
                <c:pt idx="5">
                  <c:v>6</c:v>
                </c:pt>
              </c:numCache>
            </c:numRef>
          </c:val>
          <c:extLst>
            <c:ext xmlns:c16="http://schemas.microsoft.com/office/drawing/2014/chart" uri="{C3380CC4-5D6E-409C-BE32-E72D297353CC}">
              <c16:uniqueId val="{00000001-C697-4781-B759-9E95E2D6C5A6}"/>
            </c:ext>
          </c:extLst>
        </c:ser>
        <c:dLbls>
          <c:dLblPos val="outEnd"/>
          <c:showLegendKey val="0"/>
          <c:showVal val="1"/>
          <c:showCatName val="0"/>
          <c:showSerName val="0"/>
          <c:showPercent val="0"/>
          <c:showBubbleSize val="0"/>
        </c:dLbls>
        <c:gapWidth val="219"/>
        <c:overlap val="-27"/>
        <c:axId val="352019792"/>
        <c:axId val="697373784"/>
      </c:barChart>
      <c:catAx>
        <c:axId val="352019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7373784"/>
        <c:crosses val="autoZero"/>
        <c:auto val="1"/>
        <c:lblAlgn val="ctr"/>
        <c:lblOffset val="100"/>
        <c:noMultiLvlLbl val="0"/>
      </c:catAx>
      <c:valAx>
        <c:axId val="697373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019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DB9A341B-E6C2-48CE-9C17-32777ADD9F64}">
  <sheetPr/>
  <sheetViews>
    <sheetView zoomScale="55" workbookViewId="0"/>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9271000" cy="6044045"/>
    <xdr:graphicFrame macro="">
      <xdr:nvGraphicFramePr>
        <xdr:cNvPr id="2" name="Chart 1">
          <a:extLst>
            <a:ext uri="{FF2B5EF4-FFF2-40B4-BE49-F238E27FC236}">
              <a16:creationId xmlns:a16="http://schemas.microsoft.com/office/drawing/2014/main" id="{C1F6CB11-309A-41C3-B6C1-04789D3A1812}"/>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hn" refreshedDate="43234.559997800927" createdVersion="6" refreshedVersion="6" minRefreshableVersion="3" recordCount="116" xr:uid="{59761FA6-B135-4666-BA9C-C64CFE0B8830}">
  <cacheSource type="worksheet">
    <worksheetSource ref="A12:Q128" sheet="Children"/>
  </cacheSource>
  <cacheFields count="17">
    <cacheField name="Child Code" numFmtId="0">
      <sharedItems/>
    </cacheField>
    <cacheField name="Family Code" numFmtId="0">
      <sharedItems/>
    </cacheField>
    <cacheField name="Given Name" numFmtId="0">
      <sharedItems/>
    </cacheField>
    <cacheField name="Family Name" numFmtId="0">
      <sharedItems/>
    </cacheField>
    <cacheField name="Gender" numFmtId="0">
      <sharedItems count="2">
        <s v="Female"/>
        <s v="Male"/>
      </sharedItems>
    </cacheField>
    <cacheField name="DOB" numFmtId="14">
      <sharedItems containsSemiMixedTypes="0" containsNonDate="0" containsDate="1" containsString="0" minDate="2012-11-30T00:00:00" maxDate="2017-12-27T00:00:00"/>
    </cacheField>
    <cacheField name="Days" numFmtId="0">
      <sharedItems/>
    </cacheField>
    <cacheField name="Age" numFmtId="1">
      <sharedItems containsSemiMixedTypes="0" containsString="0" containsNumber="1" containsInteger="1" minValue="0" maxValue="5" count="6">
        <n v="4"/>
        <n v="3"/>
        <n v="2"/>
        <n v="0"/>
        <n v="1"/>
        <n v="5"/>
      </sharedItems>
    </cacheField>
    <cacheField name="Initial Room" numFmtId="0">
      <sharedItems count="4">
        <s v="Kangaroo Room"/>
        <s v="Koala Room"/>
        <s v="Emu Room"/>
        <s v="Platypus Room"/>
      </sharedItems>
    </cacheField>
    <cacheField name="Final Room" numFmtId="0">
      <sharedItems/>
    </cacheField>
    <cacheField name="Number of Days" numFmtId="0">
      <sharedItems containsSemiMixedTypes="0" containsString="0" containsNumber="1" containsInteger="1" minValue="2" maxValue="7"/>
    </cacheField>
    <cacheField name="Weekday String" numFmtId="0">
      <sharedItems/>
    </cacheField>
    <cacheField name="Weekday Cost Pre Birthday" numFmtId="44">
      <sharedItems containsSemiMixedTypes="0" containsString="0" containsNumber="1" containsInteger="1" minValue="340" maxValue="21360"/>
    </cacheField>
    <cacheField name="Saturday Cost Pre Birthday" numFmtId="44">
      <sharedItems containsSemiMixedTypes="0" containsString="0" containsNumber="1" containsInteger="1" minValue="0" maxValue="6500"/>
    </cacheField>
    <cacheField name="Weekday Cost Post Birthday" numFmtId="44">
      <sharedItems containsSemiMixedTypes="0" containsString="0" containsNumber="1" containsInteger="1" minValue="0" maxValue="23430"/>
    </cacheField>
    <cacheField name="Saturday Cost Post Birthday" numFmtId="44">
      <sharedItems containsSemiMixedTypes="0" containsString="0" containsNumber="1" containsInteger="1" minValue="0" maxValue="6000"/>
    </cacheField>
    <cacheField name="Annual Cost" numFmtId="44">
      <sharedItems containsSemiMixedTypes="0" containsString="0" containsNumber="1" containsInteger="1" minValue="4310" maxValue="3839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6">
  <r>
    <s v="allman-03-05"/>
    <s v="allman-03"/>
    <s v="Molly"/>
    <s v="Allman"/>
    <x v="0"/>
    <d v="2013-06-30T00:00:00"/>
    <s v="mon,tues,sat"/>
    <x v="0"/>
    <x v="0"/>
    <s v="Kangaroo Room"/>
    <n v="3"/>
    <s v="0011111"/>
    <n v="4165"/>
    <n v="2375"/>
    <n v="4080"/>
    <n v="2250"/>
    <n v="12870"/>
  </r>
  <r>
    <s v="allman-03-04"/>
    <s v="allman-03"/>
    <s v="Regina"/>
    <s v="Allman"/>
    <x v="0"/>
    <d v="2014-10-09T00:00:00"/>
    <s v="mon,tues,sat"/>
    <x v="1"/>
    <x v="1"/>
    <s v="Kangaroo Room"/>
    <n v="3"/>
    <s v="0011111"/>
    <n v="7020"/>
    <n v="3900"/>
    <n v="1955"/>
    <n v="3705"/>
    <n v="16580"/>
  </r>
  <r>
    <s v="allman-03-03"/>
    <s v="allman-03"/>
    <s v="Roxanne"/>
    <s v="Allman"/>
    <x v="0"/>
    <d v="2015-11-02T00:00:00"/>
    <s v="mon,tues,sat"/>
    <x v="2"/>
    <x v="2"/>
    <s v="Koala Room"/>
    <n v="3"/>
    <s v="0011111"/>
    <n v="8820"/>
    <n v="4945"/>
    <n v="1440"/>
    <n v="4200"/>
    <n v="19405"/>
  </r>
  <r>
    <s v="allman-03-02"/>
    <s v="allman-03"/>
    <s v="Jeffery"/>
    <s v="Allman"/>
    <x v="1"/>
    <d v="2017-12-26T00:00:00"/>
    <s v="mon,tues,sat"/>
    <x v="3"/>
    <x v="3"/>
    <s v="Platypus Room"/>
    <n v="3"/>
    <s v="0011111"/>
    <n v="11880"/>
    <n v="6500"/>
    <n v="110"/>
    <n v="6000"/>
    <n v="24490"/>
  </r>
  <r>
    <s v="barclay-02-02"/>
    <s v="barclay-02"/>
    <s v="Jennifer"/>
    <s v="Barclay"/>
    <x v="0"/>
    <d v="2017-02-19T00:00:00"/>
    <s v="tues,wed"/>
    <x v="3"/>
    <x v="3"/>
    <s v="Platypus Room"/>
    <n v="4"/>
    <s v="1001111"/>
    <n v="1680"/>
    <n v="0"/>
    <n v="9460"/>
    <n v="0"/>
    <n v="11140"/>
  </r>
  <r>
    <s v="barclay-02-01"/>
    <s v="barclay-02"/>
    <s v="Robert"/>
    <s v="Barclay"/>
    <x v="1"/>
    <d v="2017-02-19T00:00:00"/>
    <s v="tues,wed"/>
    <x v="3"/>
    <x v="3"/>
    <s v="Platypus Room"/>
    <n v="4"/>
    <s v="1001111"/>
    <n v="1680"/>
    <n v="0"/>
    <n v="9460"/>
    <n v="0"/>
    <n v="11140"/>
  </r>
  <r>
    <s v="barnard-02-03"/>
    <s v="barnard-02"/>
    <s v="Brandon"/>
    <s v="Barnard"/>
    <x v="1"/>
    <d v="2014-12-07T00:00:00"/>
    <s v="fri,sat"/>
    <x v="1"/>
    <x v="1"/>
    <s v="Kangaroo Room"/>
    <n v="2"/>
    <s v="1111011"/>
    <n v="4230"/>
    <n v="4800"/>
    <n v="340"/>
    <n v="4465"/>
    <n v="13835"/>
  </r>
  <r>
    <s v="barnard-02-04"/>
    <s v="barnard-02"/>
    <s v="Janis"/>
    <s v="Barnard"/>
    <x v="0"/>
    <d v="2014-12-07T00:00:00"/>
    <s v="fri,sat"/>
    <x v="1"/>
    <x v="1"/>
    <s v="Kangaroo Room"/>
    <n v="2"/>
    <s v="1111011"/>
    <n v="4230"/>
    <n v="4800"/>
    <n v="340"/>
    <n v="4465"/>
    <n v="13835"/>
  </r>
  <r>
    <s v="barnard-02-02"/>
    <s v="barnard-02"/>
    <s v="Madeline"/>
    <s v="Barnard"/>
    <x v="0"/>
    <d v="2014-12-07T00:00:00"/>
    <s v="fri,sat"/>
    <x v="1"/>
    <x v="1"/>
    <s v="Kangaroo Room"/>
    <n v="2"/>
    <s v="1111011"/>
    <n v="4230"/>
    <n v="4800"/>
    <n v="340"/>
    <n v="4465"/>
    <n v="13835"/>
  </r>
  <r>
    <s v="barnard-02-05"/>
    <s v="barnard-02"/>
    <s v="Robert"/>
    <s v="Barnard"/>
    <x v="1"/>
    <d v="2014-12-07T00:00:00"/>
    <s v="fri,sat"/>
    <x v="1"/>
    <x v="1"/>
    <s v="Kangaroo Room"/>
    <n v="2"/>
    <s v="1111011"/>
    <n v="4230"/>
    <n v="4800"/>
    <n v="340"/>
    <n v="4465"/>
    <n v="13835"/>
  </r>
  <r>
    <s v="bernardini-02-01"/>
    <s v="bernardini-02"/>
    <s v="Heath"/>
    <s v="Bernardini"/>
    <x v="1"/>
    <d v="2016-11-29T00:00:00"/>
    <s v="tues,wed,thurs,fri,sat"/>
    <x v="4"/>
    <x v="3"/>
    <s v="Emu Room"/>
    <n v="5"/>
    <s v="1000011"/>
    <n v="20570"/>
    <n v="5520"/>
    <n v="1680"/>
    <n v="5290"/>
    <n v="33060"/>
  </r>
  <r>
    <s v="bruner-03-01"/>
    <s v="bruner-03"/>
    <s v="Jonas"/>
    <s v="Bruner"/>
    <x v="1"/>
    <d v="2014-05-13T00:00:00"/>
    <s v="mon,tues,wed,sat"/>
    <x v="1"/>
    <x v="1"/>
    <s v="Kangaroo Room"/>
    <n v="4"/>
    <s v="0001111"/>
    <n v="4770"/>
    <n v="1800"/>
    <n v="8160"/>
    <n v="1710"/>
    <n v="16440"/>
  </r>
  <r>
    <s v="burke-02-02"/>
    <s v="burke-02"/>
    <s v="Micael"/>
    <s v="Burke"/>
    <x v="1"/>
    <d v="2015-02-26T00:00:00"/>
    <s v="tues,thurs,fri,sat"/>
    <x v="2"/>
    <x v="2"/>
    <s v="Koala Room"/>
    <n v="4"/>
    <s v="1010011"/>
    <n v="2415"/>
    <n v="920"/>
    <n v="11700"/>
    <n v="800"/>
    <n v="15835"/>
  </r>
  <r>
    <s v="caya-02-01"/>
    <s v="caya-02"/>
    <s v="Zurie"/>
    <s v="Caya"/>
    <x v="0"/>
    <d v="2015-05-08T00:00:00"/>
    <s v="mon,thurs,fri"/>
    <x v="2"/>
    <x v="2"/>
    <s v="Koala Room"/>
    <n v="5"/>
    <s v="0110011"/>
    <n v="5250"/>
    <n v="0"/>
    <n v="9090"/>
    <n v="0"/>
    <n v="14340"/>
  </r>
  <r>
    <s v="chien-03-03"/>
    <s v="chien-03"/>
    <s v="Ju"/>
    <s v="Chien"/>
    <x v="0"/>
    <d v="2015-07-30T00:00:00"/>
    <s v="mon,tues,wed,thurs"/>
    <x v="2"/>
    <x v="2"/>
    <s v="Koala Room"/>
    <n v="6"/>
    <s v="0000111"/>
    <n v="12285"/>
    <n v="0"/>
    <n v="7650"/>
    <n v="0"/>
    <n v="19935"/>
  </r>
  <r>
    <s v="chien-03-02"/>
    <s v="chien-03"/>
    <s v="Yuan"/>
    <s v="Chien"/>
    <x v="1"/>
    <d v="2016-12-13T00:00:00"/>
    <s v="mon,tues,wed,thurs"/>
    <x v="4"/>
    <x v="3"/>
    <s v="Emu Room"/>
    <n v="6"/>
    <s v="0000111"/>
    <n v="21340"/>
    <n v="0"/>
    <n v="840"/>
    <n v="0"/>
    <n v="22180"/>
  </r>
  <r>
    <s v="coburn-02-02"/>
    <s v="coburn-02"/>
    <s v="Karen"/>
    <s v="Coburn"/>
    <x v="0"/>
    <d v="2015-06-25T00:00:00"/>
    <s v="mon,thurs,fri,sat"/>
    <x v="2"/>
    <x v="2"/>
    <s v="Koala Room"/>
    <n v="4"/>
    <s v="0110011"/>
    <n v="7455"/>
    <n v="2760"/>
    <n v="7290"/>
    <n v="2400"/>
    <n v="19905"/>
  </r>
  <r>
    <s v="coburn-02-01"/>
    <s v="coburn-02"/>
    <s v="Mack"/>
    <s v="Coburn"/>
    <x v="1"/>
    <d v="2017-10-02T00:00:00"/>
    <s v="mon,thurs,fri,sat"/>
    <x v="3"/>
    <x v="3"/>
    <s v="Platypus Room"/>
    <n v="4"/>
    <s v="0110011"/>
    <n v="13440"/>
    <n v="4940"/>
    <n v="4290"/>
    <n v="4560"/>
    <n v="27230"/>
  </r>
  <r>
    <s v="course-01-01"/>
    <s v="course-01"/>
    <s v="Roux"/>
    <s v="Course"/>
    <x v="0"/>
    <d v="2014-06-15T00:00:00"/>
    <s v="mon,tues,wed,sat"/>
    <x v="1"/>
    <x v="1"/>
    <s v="Kangaroo Room"/>
    <n v="4"/>
    <s v="0001111"/>
    <n v="6120"/>
    <n v="2300"/>
    <n v="6885"/>
    <n v="2090"/>
    <n v="17395"/>
  </r>
  <r>
    <s v="crombie-03-03"/>
    <s v="crombie-03"/>
    <s v="Jerome"/>
    <s v="Crombie"/>
    <x v="1"/>
    <d v="2014-07-16T00:00:00"/>
    <s v="mon,wed,thurs,fri,sat"/>
    <x v="1"/>
    <x v="1"/>
    <s v="Kangaroo Room"/>
    <n v="5"/>
    <s v="0100011"/>
    <n v="9630"/>
    <n v="2700"/>
    <n v="7990"/>
    <n v="2565"/>
    <n v="22885"/>
  </r>
  <r>
    <s v="crombie-03-04"/>
    <s v="crombie-03"/>
    <s v="Richard"/>
    <s v="Crombie"/>
    <x v="1"/>
    <d v="2014-07-16T00:00:00"/>
    <s v="mon,wed,thurs,fri,sat"/>
    <x v="1"/>
    <x v="1"/>
    <s v="Kangaroo Room"/>
    <n v="5"/>
    <s v="0100011"/>
    <n v="9630"/>
    <n v="2700"/>
    <n v="7990"/>
    <n v="2565"/>
    <n v="22885"/>
  </r>
  <r>
    <s v="crombie-03-01"/>
    <s v="crombie-03"/>
    <s v="Samantha"/>
    <s v="Crombie"/>
    <x v="0"/>
    <d v="2016-10-15T00:00:00"/>
    <s v="mon,wed,thurs,fri,sat"/>
    <x v="4"/>
    <x v="3"/>
    <s v="Emu Room"/>
    <n v="5"/>
    <s v="0100011"/>
    <n v="17270"/>
    <n v="4800"/>
    <n v="4620"/>
    <n v="4600"/>
    <n v="31290"/>
  </r>
  <r>
    <s v="crombie-03-02"/>
    <s v="crombie-03"/>
    <s v="Joe"/>
    <s v="Crombie"/>
    <x v="1"/>
    <d v="2016-10-15T00:00:00"/>
    <s v="mon,wed,thurs,fri,sat"/>
    <x v="4"/>
    <x v="3"/>
    <s v="Emu Room"/>
    <n v="5"/>
    <s v="0100011"/>
    <n v="17270"/>
    <n v="4800"/>
    <n v="4620"/>
    <n v="4600"/>
    <n v="31290"/>
  </r>
  <r>
    <s v="dastous-01-01"/>
    <s v="dastous-01"/>
    <s v="Fauna"/>
    <s v="Dastous"/>
    <x v="0"/>
    <d v="2013-03-26T00:00:00"/>
    <s v="mon,tues,thurs,fri,sat"/>
    <x v="0"/>
    <x v="0"/>
    <s v="Kangaroo Room"/>
    <n v="5"/>
    <s v="0010011"/>
    <n v="3995"/>
    <n v="1140"/>
    <n v="12480"/>
    <n v="1080"/>
    <n v="18695"/>
  </r>
  <r>
    <s v="dorrington-01-02"/>
    <s v="dorrington-01"/>
    <s v="Xander"/>
    <s v="Dorrington"/>
    <x v="1"/>
    <d v="2015-06-29T00:00:00"/>
    <s v="thurs"/>
    <x v="2"/>
    <x v="2"/>
    <s v="Koala Room"/>
    <n v="3"/>
    <s v="1110111"/>
    <n v="2730"/>
    <n v="0"/>
    <n v="2340"/>
    <n v="0"/>
    <n v="5070"/>
  </r>
  <r>
    <s v="duggan-03-02"/>
    <s v="duggan-03"/>
    <s v="Lucas"/>
    <s v="Duggan"/>
    <x v="1"/>
    <d v="2014-10-28T00:00:00"/>
    <s v="mon,thurs,sat"/>
    <x v="1"/>
    <x v="1"/>
    <s v="Kangaroo Room"/>
    <n v="3"/>
    <s v="0110111"/>
    <n v="7380"/>
    <n v="4200"/>
    <n v="1615"/>
    <n v="3990"/>
    <n v="17185"/>
  </r>
  <r>
    <s v="duggan-03-03"/>
    <s v="duggan-03"/>
    <s v="Shelly"/>
    <s v="Duggan"/>
    <x v="0"/>
    <d v="2014-10-28T00:00:00"/>
    <s v="mon,thurs,sat"/>
    <x v="1"/>
    <x v="1"/>
    <s v="Kangaroo Room"/>
    <n v="3"/>
    <s v="0110111"/>
    <n v="7380"/>
    <n v="4200"/>
    <n v="1615"/>
    <n v="3990"/>
    <n v="17185"/>
  </r>
  <r>
    <s v="duggan-03-04"/>
    <s v="duggan-03"/>
    <s v="Richard"/>
    <s v="Duggan"/>
    <x v="1"/>
    <d v="2014-10-28T00:00:00"/>
    <s v="mon,thurs,sat"/>
    <x v="1"/>
    <x v="1"/>
    <s v="Kangaroo Room"/>
    <n v="3"/>
    <s v="0110111"/>
    <n v="7380"/>
    <n v="4200"/>
    <n v="1615"/>
    <n v="3990"/>
    <n v="17185"/>
  </r>
  <r>
    <s v="duggan-03-05"/>
    <s v="duggan-03"/>
    <s v="Charles"/>
    <s v="Duggan"/>
    <x v="1"/>
    <d v="2014-10-28T00:00:00"/>
    <s v="mon,thurs,sat"/>
    <x v="1"/>
    <x v="1"/>
    <s v="Kangaroo Room"/>
    <n v="3"/>
    <s v="0110111"/>
    <n v="7380"/>
    <n v="4200"/>
    <n v="1615"/>
    <n v="3990"/>
    <n v="17185"/>
  </r>
  <r>
    <s v="dumaresq-03-01"/>
    <s v="dumaresq-03"/>
    <s v="Howard"/>
    <s v="Dumaresq"/>
    <x v="1"/>
    <d v="2014-03-27T00:00:00"/>
    <s v="mon,tues,fri,sat"/>
    <x v="1"/>
    <x v="1"/>
    <s v="Kangaroo Room"/>
    <n v="4"/>
    <s v="0011011"/>
    <n v="3240"/>
    <n v="1200"/>
    <n v="9775"/>
    <n v="1140"/>
    <n v="15355"/>
  </r>
  <r>
    <s v="duranseau-01-01"/>
    <s v="duranseau-01"/>
    <s v="Yvon"/>
    <s v="Duranseau"/>
    <x v="0"/>
    <d v="2014-04-19T00:00:00"/>
    <s v="mon,wed,fri"/>
    <x v="1"/>
    <x v="1"/>
    <s v="Kangaroo Room"/>
    <n v="5"/>
    <s v="0101011"/>
    <n v="3870"/>
    <n v="0"/>
    <n v="8925"/>
    <n v="0"/>
    <n v="12795"/>
  </r>
  <r>
    <s v="eatock-01-02"/>
    <s v="eatock-01"/>
    <s v="Lena"/>
    <s v="Eatock"/>
    <x v="0"/>
    <d v="2014-01-29T00:00:00"/>
    <s v="mon,fri,sat"/>
    <x v="1"/>
    <x v="1"/>
    <s v="Kangaroo Room"/>
    <n v="3"/>
    <s v="0111011"/>
    <n v="630"/>
    <n v="400"/>
    <n v="7905"/>
    <n v="380"/>
    <n v="9315"/>
  </r>
  <r>
    <s v="eatock-01-01"/>
    <s v="eatock-01"/>
    <s v="Mary"/>
    <s v="Eatock"/>
    <x v="0"/>
    <d v="2016-04-22T00:00:00"/>
    <s v="mon,fri,sat"/>
    <x v="4"/>
    <x v="3"/>
    <s v="Emu Room"/>
    <n v="3"/>
    <s v="0111011"/>
    <n v="3080"/>
    <n v="1800"/>
    <n v="7455"/>
    <n v="1725"/>
    <n v="14060"/>
  </r>
  <r>
    <s v="edgerton-01-02"/>
    <s v="edgerton-01"/>
    <s v="Taylah"/>
    <s v="Edgerton"/>
    <x v="0"/>
    <d v="2014-04-07T00:00:00"/>
    <s v="fri"/>
    <x v="1"/>
    <x v="1"/>
    <s v="Kangaroo Room"/>
    <n v="3"/>
    <s v="1111011"/>
    <n v="1080"/>
    <n v="0"/>
    <n v="3230"/>
    <n v="0"/>
    <n v="4310"/>
  </r>
  <r>
    <s v="fantl-02-02"/>
    <s v="fantl-02"/>
    <s v="Ellie"/>
    <s v="Fantl"/>
    <x v="0"/>
    <d v="2015-10-22T00:00:00"/>
    <s v="mon,fri,sat"/>
    <x v="2"/>
    <x v="2"/>
    <s v="Koala Room"/>
    <n v="3"/>
    <s v="0111011"/>
    <n v="8295"/>
    <n v="4715"/>
    <n v="1890"/>
    <n v="4100"/>
    <n v="19000"/>
  </r>
  <r>
    <s v="fantl-02-03"/>
    <s v="fantl-02"/>
    <s v="Alannah"/>
    <s v="Fantl"/>
    <x v="0"/>
    <d v="2015-10-22T00:00:00"/>
    <s v="mon,fri,sat"/>
    <x v="2"/>
    <x v="2"/>
    <s v="Koala Room"/>
    <n v="3"/>
    <s v="0111011"/>
    <n v="8295"/>
    <n v="4715"/>
    <n v="1890"/>
    <n v="4100"/>
    <n v="19000"/>
  </r>
  <r>
    <s v="farquhar-03-01"/>
    <s v="farquhar-03"/>
    <s v="Nathan"/>
    <s v="Farquhar"/>
    <x v="1"/>
    <d v="2013-05-27T00:00:00"/>
    <s v="mon,tues,fri"/>
    <x v="0"/>
    <x v="0"/>
    <s v="Kangaroo Room"/>
    <n v="5"/>
    <s v="0011011"/>
    <n v="4930"/>
    <n v="0"/>
    <n v="7360"/>
    <n v="0"/>
    <n v="12290"/>
  </r>
  <r>
    <s v="farquhar-03-02"/>
    <s v="farquhar-03"/>
    <s v="John"/>
    <s v="Farquhar"/>
    <x v="1"/>
    <d v="2015-07-12T00:00:00"/>
    <s v="mon,tues,fri"/>
    <x v="2"/>
    <x v="2"/>
    <s v="Koala Room"/>
    <n v="5"/>
    <s v="0011011"/>
    <n v="8190"/>
    <n v="0"/>
    <n v="6480"/>
    <n v="0"/>
    <n v="14670"/>
  </r>
  <r>
    <s v="fichter-02-01"/>
    <s v="fichter-02"/>
    <s v="Kelvin"/>
    <s v="Fichter"/>
    <x v="1"/>
    <d v="2013-05-05T00:00:00"/>
    <s v="mon,tues,fri,sat"/>
    <x v="0"/>
    <x v="0"/>
    <s v="Kangaroo Room"/>
    <n v="4"/>
    <s v="0011011"/>
    <n v="4250"/>
    <n v="1615"/>
    <n v="8000"/>
    <n v="1530"/>
    <n v="15395"/>
  </r>
  <r>
    <s v="fichter-02-03"/>
    <s v="fichter-02"/>
    <s v="Delia"/>
    <s v="Fichter"/>
    <x v="0"/>
    <d v="2015-12-25T00:00:00"/>
    <s v="mon,tues,fri,sat"/>
    <x v="2"/>
    <x v="2"/>
    <s v="Koala Room"/>
    <n v="4"/>
    <s v="0011011"/>
    <n v="15540"/>
    <n v="5750"/>
    <n v="180"/>
    <n v="5000"/>
    <n v="26470"/>
  </r>
  <r>
    <s v="fichter-02-02"/>
    <s v="fichter-02"/>
    <s v="Mark"/>
    <s v="Fichter"/>
    <x v="1"/>
    <d v="2017-05-13T00:00:00"/>
    <s v="mon,tues,fri,sat"/>
    <x v="3"/>
    <x v="3"/>
    <s v="Platypus Room"/>
    <n v="4"/>
    <s v="0011011"/>
    <n v="6240"/>
    <n v="2340"/>
    <n v="10780"/>
    <n v="2160"/>
    <n v="21520"/>
  </r>
  <r>
    <s v="gallegos-03-01"/>
    <s v="gallegos-03"/>
    <s v="Callum"/>
    <s v="Gallegos"/>
    <x v="1"/>
    <d v="2014-06-16T00:00:00"/>
    <s v="mon,tues,wed,sat"/>
    <x v="1"/>
    <x v="1"/>
    <s v="Kangaroo Room"/>
    <n v="4"/>
    <s v="0001111"/>
    <n v="6120"/>
    <n v="2300"/>
    <n v="6885"/>
    <n v="2185"/>
    <n v="17490"/>
  </r>
  <r>
    <s v="gallegos-03-02"/>
    <s v="gallegos-03"/>
    <s v="Alex"/>
    <s v="Gallegos"/>
    <x v="1"/>
    <d v="2014-06-16T00:00:00"/>
    <s v="mon,tues,wed,sat"/>
    <x v="1"/>
    <x v="1"/>
    <s v="Kangaroo Room"/>
    <n v="4"/>
    <s v="0001111"/>
    <n v="6120"/>
    <n v="2300"/>
    <n v="6885"/>
    <n v="2185"/>
    <n v="17490"/>
  </r>
  <r>
    <s v="gallop-03-02"/>
    <s v="gallop-03"/>
    <s v="Isabelle"/>
    <s v="Gallop"/>
    <x v="0"/>
    <d v="2013-07-12T00:00:00"/>
    <s v="tues,wed,thurs,fri"/>
    <x v="0"/>
    <x v="0"/>
    <s v="Kangaroo Room"/>
    <n v="6"/>
    <s v="1000011"/>
    <n v="9180"/>
    <n v="0"/>
    <n v="7600"/>
    <n v="0"/>
    <n v="16780"/>
  </r>
  <r>
    <s v="gallop-03-03"/>
    <s v="gallop-03"/>
    <s v="Tyler"/>
    <s v="Gallop"/>
    <x v="1"/>
    <d v="2015-12-11T00:00:00"/>
    <s v="tues,wed,thurs,fri"/>
    <x v="2"/>
    <x v="2"/>
    <s v="Koala Room"/>
    <n v="6"/>
    <s v="1000011"/>
    <n v="20265"/>
    <n v="0"/>
    <n v="900"/>
    <n v="0"/>
    <n v="21165"/>
  </r>
  <r>
    <s v="garreau-01-02"/>
    <s v="garreau-01"/>
    <s v="Maurelle"/>
    <s v="Garreau"/>
    <x v="0"/>
    <d v="2015-06-12T00:00:00"/>
    <s v="mon,fri,sat"/>
    <x v="2"/>
    <x v="2"/>
    <s v="Koala Room"/>
    <n v="3"/>
    <s v="0111011"/>
    <n v="4410"/>
    <n v="2530"/>
    <n v="5130"/>
    <n v="2200"/>
    <n v="14270"/>
  </r>
  <r>
    <s v="hertzog-03-01"/>
    <s v="hertzog-03"/>
    <s v="Jan"/>
    <s v="Hertzog"/>
    <x v="0"/>
    <d v="2017-01-30T00:00:00"/>
    <s v="mon,thurs,fri"/>
    <x v="3"/>
    <x v="3"/>
    <s v="Platypus Room"/>
    <n v="5"/>
    <s v="0110011"/>
    <n v="1320"/>
    <n v="0"/>
    <n v="15400"/>
    <n v="0"/>
    <n v="16720"/>
  </r>
  <r>
    <s v="isom-01-01"/>
    <s v="isom-01"/>
    <s v="Jordon"/>
    <s v="Isom"/>
    <x v="1"/>
    <d v="2014-03-09T00:00:00"/>
    <s v="tues,wed,thurs,fri,sat"/>
    <x v="1"/>
    <x v="1"/>
    <s v="Kangaroo Room"/>
    <n v="5"/>
    <s v="1000011"/>
    <n v="3510"/>
    <n v="1000"/>
    <n v="13940"/>
    <n v="855"/>
    <n v="19305"/>
  </r>
  <r>
    <s v="jackey-02-02"/>
    <s v="jackey-02"/>
    <s v="Dominic"/>
    <s v="Jackey"/>
    <x v="1"/>
    <d v="2013-09-17T00:00:00"/>
    <s v="tues,wed,thurs,fri,sat"/>
    <x v="0"/>
    <x v="0"/>
    <s v="Kangaroo Room"/>
    <n v="5"/>
    <s v="1000011"/>
    <n v="12240"/>
    <n v="3420"/>
    <n v="4640"/>
    <n v="3240"/>
    <n v="23540"/>
  </r>
  <r>
    <s v="jackey-02-03"/>
    <s v="jackey-02"/>
    <s v="Danielle"/>
    <s v="Jackey"/>
    <x v="0"/>
    <d v="2015-06-19T00:00:00"/>
    <s v="tues,wed,thurs,fri,sat"/>
    <x v="2"/>
    <x v="2"/>
    <s v="Koala Room"/>
    <n v="5"/>
    <s v="1000011"/>
    <n v="9870"/>
    <n v="2645"/>
    <n v="9810"/>
    <n v="2300"/>
    <n v="24625"/>
  </r>
  <r>
    <s v="johann-01-02"/>
    <s v="johann-01"/>
    <s v="Raison"/>
    <s v="Johann"/>
    <x v="1"/>
    <d v="2013-02-04T00:00:00"/>
    <s v="mon,tues,wed,thurs,fri"/>
    <x v="0"/>
    <x v="0"/>
    <s v="Kangaroo Room"/>
    <n v="7"/>
    <s v="0000011"/>
    <n v="1955"/>
    <n v="0"/>
    <n v="18240"/>
    <n v="0"/>
    <n v="20195"/>
  </r>
  <r>
    <s v="johann-01-03"/>
    <s v="johann-01"/>
    <s v="Rohan"/>
    <s v="Johann"/>
    <x v="1"/>
    <d v="2015-02-26T00:00:00"/>
    <s v="mon,tues,wed,thurs,fri"/>
    <x v="2"/>
    <x v="2"/>
    <s v="Koala Room"/>
    <n v="7"/>
    <s v="0000011"/>
    <n v="4095"/>
    <n v="0"/>
    <n v="19170"/>
    <n v="0"/>
    <n v="23265"/>
  </r>
  <r>
    <s v="kamuta-01-01"/>
    <s v="kamuta-01"/>
    <s v="Tsuyuha"/>
    <s v="Kamuta"/>
    <x v="0"/>
    <d v="2013-01-15T00:00:00"/>
    <s v="mon,tues,wed,fri"/>
    <x v="0"/>
    <x v="0"/>
    <s v="Kangaroo Room"/>
    <n v="6"/>
    <s v="0001011"/>
    <n v="680"/>
    <n v="0"/>
    <n v="15360"/>
    <n v="0"/>
    <n v="16040"/>
  </r>
  <r>
    <s v="kamuta-01-04"/>
    <s v="kamuta-01"/>
    <s v="Moeka"/>
    <s v="Kamuta"/>
    <x v="0"/>
    <d v="2014-10-11T00:00:00"/>
    <s v="mon,tues,wed,fri"/>
    <x v="1"/>
    <x v="1"/>
    <s v="Kangaroo Room"/>
    <n v="6"/>
    <s v="0001011"/>
    <n v="13950"/>
    <n v="0"/>
    <n v="3740"/>
    <n v="0"/>
    <n v="17690"/>
  </r>
  <r>
    <s v="kamuta-01-03"/>
    <s v="kamuta-01"/>
    <s v="Gakuto"/>
    <s v="Kamuta"/>
    <x v="1"/>
    <d v="2015-11-20T00:00:00"/>
    <s v="mon,tues,wed,fri"/>
    <x v="2"/>
    <x v="2"/>
    <s v="Koala Room"/>
    <n v="6"/>
    <s v="0001011"/>
    <n v="18690"/>
    <n v="0"/>
    <n v="1980"/>
    <n v="0"/>
    <n v="20670"/>
  </r>
  <r>
    <s v="kamuta-01-02"/>
    <s v="kamuta-01"/>
    <s v="Sakio"/>
    <s v="Kamuta"/>
    <x v="0"/>
    <d v="2017-07-28T00:00:00"/>
    <s v="mon,tues,wed,fri"/>
    <x v="3"/>
    <x v="3"/>
    <s v="Platypus Room"/>
    <n v="6"/>
    <s v="0001011"/>
    <n v="13680"/>
    <n v="0"/>
    <n v="9350"/>
    <n v="0"/>
    <n v="23030"/>
  </r>
  <r>
    <s v="kasai-03-01"/>
    <s v="kasai-03"/>
    <s v="Erisa"/>
    <s v="Kasai"/>
    <x v="0"/>
    <d v="2014-09-24T00:00:00"/>
    <s v="mon,wed"/>
    <x v="1"/>
    <x v="1"/>
    <s v="Kangaroo Room"/>
    <n v="4"/>
    <s v="0101111"/>
    <n v="6480"/>
    <n v="0"/>
    <n v="2295"/>
    <n v="0"/>
    <n v="8775"/>
  </r>
  <r>
    <s v="kouno-01-02"/>
    <s v="kouno-01"/>
    <s v="Shima"/>
    <s v="Kouno"/>
    <x v="0"/>
    <d v="2016-02-27T00:00:00"/>
    <s v="tues,thurs,fri,sat"/>
    <x v="4"/>
    <x v="3"/>
    <s v="Emu Room"/>
    <n v="4"/>
    <s v="1010011"/>
    <n v="2640"/>
    <n v="960"/>
    <n v="13650"/>
    <n v="920"/>
    <n v="18170"/>
  </r>
  <r>
    <s v="kraegen-01-01"/>
    <s v="kraegen-01"/>
    <s v="Josphine"/>
    <s v="Kraegen"/>
    <x v="0"/>
    <d v="2014-07-18T00:00:00"/>
    <s v="thurs,fri,sat"/>
    <x v="1"/>
    <x v="1"/>
    <s v="Kangaroo Room"/>
    <n v="3"/>
    <s v="1110011"/>
    <n v="4860"/>
    <n v="2700"/>
    <n v="4080"/>
    <n v="2565"/>
    <n v="14205"/>
  </r>
  <r>
    <s v="langlais-02-02"/>
    <s v="langlais-02"/>
    <s v="Henry"/>
    <s v="Langlais"/>
    <x v="1"/>
    <d v="2013-08-25T00:00:00"/>
    <s v="thurs"/>
    <x v="0"/>
    <x v="0"/>
    <s v="Kangaroo Room"/>
    <n v="3"/>
    <s v="1110111"/>
    <n v="2890"/>
    <n v="0"/>
    <n v="1440"/>
    <n v="0"/>
    <n v="4330"/>
  </r>
  <r>
    <s v="langlais-02-03"/>
    <s v="langlais-02"/>
    <s v="Courtland"/>
    <s v="Langlais"/>
    <x v="1"/>
    <d v="2015-10-31T00:00:00"/>
    <s v="thurs"/>
    <x v="2"/>
    <x v="2"/>
    <s v="Koala Room"/>
    <n v="3"/>
    <s v="1110111"/>
    <n v="4515"/>
    <n v="0"/>
    <n v="810"/>
    <n v="0"/>
    <n v="5325"/>
  </r>
  <r>
    <s v="leveille-02-02"/>
    <s v="leveille-02"/>
    <s v="Edmee"/>
    <s v="Leveille"/>
    <x v="0"/>
    <d v="2013-09-27T00:00:00"/>
    <s v="mon,tues,wed,thurs,sat"/>
    <x v="0"/>
    <x v="0"/>
    <s v="Kangaroo Room"/>
    <n v="5"/>
    <s v="0000111"/>
    <n v="12835"/>
    <n v="3515"/>
    <n v="4080"/>
    <n v="3330"/>
    <n v="23760"/>
  </r>
  <r>
    <s v="marian-03-02"/>
    <s v="marian-03"/>
    <s v="Sean"/>
    <s v="Marian"/>
    <x v="1"/>
    <d v="2014-11-16T00:00:00"/>
    <s v="thurs,sat"/>
    <x v="1"/>
    <x v="1"/>
    <s v="Kangaroo Room"/>
    <n v="2"/>
    <s v="1110111"/>
    <n v="4140"/>
    <n v="4500"/>
    <n v="510"/>
    <n v="4180"/>
    <n v="13330"/>
  </r>
  <r>
    <s v="mcguirk-03-01"/>
    <s v="mcguirk-03"/>
    <s v="Donald"/>
    <s v="McGuirk"/>
    <x v="1"/>
    <d v="2013-09-03T00:00:00"/>
    <s v="mon,tues,thurs,fri,sat"/>
    <x v="0"/>
    <x v="0"/>
    <s v="Kangaroo Room"/>
    <n v="5"/>
    <s v="0010011"/>
    <n v="11560"/>
    <n v="3230"/>
    <n v="5360"/>
    <n v="3060"/>
    <n v="23210"/>
  </r>
  <r>
    <s v="mcguirk-03-02"/>
    <s v="mcguirk-03"/>
    <s v="Barry"/>
    <s v="McGuirk"/>
    <x v="1"/>
    <d v="2015-08-13T00:00:00"/>
    <s v="mon,tues,thurs,fri,sat"/>
    <x v="2"/>
    <x v="2"/>
    <s v="Koala Room"/>
    <n v="5"/>
    <s v="0010011"/>
    <n v="13020"/>
    <n v="3565"/>
    <n v="7110"/>
    <n v="3100"/>
    <n v="26795"/>
  </r>
  <r>
    <s v="mckean-03-02"/>
    <s v="mckean-03"/>
    <s v="Alyssa"/>
    <s v="McKean"/>
    <x v="0"/>
    <d v="2015-08-09T00:00:00"/>
    <s v="tues,wed,thurs,fri"/>
    <x v="2"/>
    <x v="2"/>
    <s v="Koala Room"/>
    <n v="6"/>
    <s v="1000011"/>
    <n v="13020"/>
    <n v="0"/>
    <n v="7110"/>
    <n v="0"/>
    <n v="20130"/>
  </r>
  <r>
    <s v="moore-01-01"/>
    <s v="moore-01"/>
    <s v="Billy"/>
    <s v="Moore"/>
    <x v="1"/>
    <d v="2012-12-03T00:00:00"/>
    <s v="mon,wed,thurs,fri,sat"/>
    <x v="5"/>
    <x v="0"/>
    <s v="NOT ALLOWED"/>
    <n v="5"/>
    <s v="0100011"/>
    <n v="14800"/>
    <n v="4230"/>
    <n v="0"/>
    <n v="0"/>
    <n v="19030"/>
  </r>
  <r>
    <s v="moore-01-02"/>
    <s v="moore-01"/>
    <s v="Sonja"/>
    <s v="Moore"/>
    <x v="0"/>
    <d v="2012-12-03T00:00:00"/>
    <s v="mon,wed,thurs,fri,sat"/>
    <x v="5"/>
    <x v="0"/>
    <s v="NOT ALLOWED"/>
    <n v="5"/>
    <s v="0100011"/>
    <n v="14800"/>
    <n v="4230"/>
    <n v="0"/>
    <n v="0"/>
    <n v="19030"/>
  </r>
  <r>
    <s v="mowery-02-01"/>
    <s v="mowery-02"/>
    <s v="Jason"/>
    <s v="Mowery"/>
    <x v="1"/>
    <d v="2014-08-06T00:00:00"/>
    <s v="mon,wed,thurs,sat"/>
    <x v="1"/>
    <x v="1"/>
    <s v="Kangaroo Room"/>
    <n v="4"/>
    <s v="0100111"/>
    <n v="8100"/>
    <n v="3000"/>
    <n v="5185"/>
    <n v="2850"/>
    <n v="19135"/>
  </r>
  <r>
    <s v="nixon-03-02"/>
    <s v="nixon-03"/>
    <s v="Julian"/>
    <s v="Nixon"/>
    <x v="1"/>
    <d v="2014-02-11T00:00:00"/>
    <s v="mon,tues,thurs,fri,sat"/>
    <x v="1"/>
    <x v="1"/>
    <s v="Kangaroo Room"/>
    <n v="5"/>
    <s v="0010011"/>
    <n v="1980"/>
    <n v="600"/>
    <n v="15300"/>
    <n v="570"/>
    <n v="18450"/>
  </r>
  <r>
    <s v="obrien-01-01"/>
    <s v="obrien-01"/>
    <s v="Deborah"/>
    <s v="Obrien"/>
    <x v="0"/>
    <d v="2014-08-03T00:00:00"/>
    <s v="mon,sat"/>
    <x v="1"/>
    <x v="1"/>
    <s v="Kangaroo Room"/>
    <n v="2"/>
    <s v="0111111"/>
    <n v="2520"/>
    <n v="3000"/>
    <n v="1785"/>
    <n v="2755"/>
    <n v="10060"/>
  </r>
  <r>
    <s v="obrien-01-02"/>
    <s v="obrien-01"/>
    <s v="Kevin"/>
    <s v="Obrien"/>
    <x v="1"/>
    <d v="2016-05-07T00:00:00"/>
    <s v="mon,sat"/>
    <x v="4"/>
    <x v="3"/>
    <s v="Emu Room"/>
    <n v="2"/>
    <s v="0111111"/>
    <n v="1760"/>
    <n v="2040"/>
    <n v="3465"/>
    <n v="1955"/>
    <n v="9220"/>
  </r>
  <r>
    <s v="osburne-03-02"/>
    <s v="osburne-03"/>
    <s v="Abigail"/>
    <s v="Osburne"/>
    <x v="0"/>
    <d v="2013-02-17T00:00:00"/>
    <s v="wed,fri,sat"/>
    <x v="0"/>
    <x v="0"/>
    <s v="Kangaroo Room"/>
    <n v="3"/>
    <s v="1101011"/>
    <n v="1105"/>
    <n v="665"/>
    <n v="6880"/>
    <n v="630"/>
    <n v="9280"/>
  </r>
  <r>
    <s v="osburne-03-03"/>
    <s v="osburne-03"/>
    <s v="Elizabeth"/>
    <s v="Osburne"/>
    <x v="0"/>
    <d v="2013-02-17T00:00:00"/>
    <s v="wed,fri,sat"/>
    <x v="0"/>
    <x v="0"/>
    <s v="Kangaroo Room"/>
    <n v="3"/>
    <s v="1101011"/>
    <n v="1105"/>
    <n v="665"/>
    <n v="6880"/>
    <n v="630"/>
    <n v="9280"/>
  </r>
  <r>
    <s v="osburne-03-01"/>
    <s v="osburne-03"/>
    <s v="Ryder"/>
    <s v="Osburne"/>
    <x v="1"/>
    <d v="2014-12-05T00:00:00"/>
    <s v="wed,fri,sat"/>
    <x v="1"/>
    <x v="1"/>
    <s v="Kangaroo Room"/>
    <n v="3"/>
    <s v="1101011"/>
    <n v="8370"/>
    <n v="4700"/>
    <n v="595"/>
    <n v="4465"/>
    <n v="18130"/>
  </r>
  <r>
    <s v="pelensky-02-02"/>
    <s v="pelensky-02"/>
    <s v="Jake"/>
    <s v="Pelensky"/>
    <x v="1"/>
    <d v="2013-12-16T00:00:00"/>
    <s v="thurs,fri"/>
    <x v="0"/>
    <x v="0"/>
    <s v="Kangaroo Room"/>
    <n v="4"/>
    <s v="1110011"/>
    <n v="8330"/>
    <n v="0"/>
    <n v="320"/>
    <n v="0"/>
    <n v="8650"/>
  </r>
  <r>
    <s v="pelsaert-03-02"/>
    <s v="pelsaert-03"/>
    <s v="Sabrine"/>
    <s v="Pelsaert"/>
    <x v="0"/>
    <d v="2016-03-16T00:00:00"/>
    <s v="mon,tues,thurs"/>
    <x v="4"/>
    <x v="3"/>
    <s v="Emu Room"/>
    <n v="5"/>
    <s v="0010111"/>
    <n v="3520"/>
    <n v="0"/>
    <n v="12600"/>
    <n v="0"/>
    <n v="16120"/>
  </r>
  <r>
    <s v="pelsaert-03-03"/>
    <s v="pelsaert-03"/>
    <s v="Pamala"/>
    <s v="Pelsaert"/>
    <x v="0"/>
    <d v="2016-03-16T00:00:00"/>
    <s v="mon,tues,thurs"/>
    <x v="4"/>
    <x v="3"/>
    <s v="Emu Room"/>
    <n v="5"/>
    <s v="0010111"/>
    <n v="3520"/>
    <n v="0"/>
    <n v="12600"/>
    <n v="0"/>
    <n v="16120"/>
  </r>
  <r>
    <s v="pelsaert-03-04"/>
    <s v="pelsaert-03"/>
    <s v="Bradley"/>
    <s v="Pelsaert"/>
    <x v="1"/>
    <d v="2016-03-16T00:00:00"/>
    <s v="mon,tues,thurs"/>
    <x v="4"/>
    <x v="3"/>
    <s v="Emu Room"/>
    <n v="5"/>
    <s v="0010111"/>
    <n v="3520"/>
    <n v="0"/>
    <n v="12600"/>
    <n v="0"/>
    <n v="16120"/>
  </r>
  <r>
    <s v="penfold-02-01"/>
    <s v="penfold-02"/>
    <s v="Thomas"/>
    <s v="Penfold"/>
    <x v="1"/>
    <d v="2013-01-16T00:00:00"/>
    <s v="mon,wed,sat"/>
    <x v="0"/>
    <x v="0"/>
    <s v="Kangaroo Room"/>
    <n v="3"/>
    <s v="0101111"/>
    <n v="340"/>
    <n v="190"/>
    <n v="7520"/>
    <n v="180"/>
    <n v="8230"/>
  </r>
  <r>
    <s v="quynh-03-02"/>
    <s v="quynh-03"/>
    <s v="Tinh"/>
    <s v="Quynh"/>
    <x v="1"/>
    <d v="2015-02-10T00:00:00"/>
    <s v="mon,tues"/>
    <x v="2"/>
    <x v="2"/>
    <s v="Koala Room"/>
    <n v="4"/>
    <s v="0011111"/>
    <n v="1155"/>
    <n v="0"/>
    <n v="8010"/>
    <n v="0"/>
    <n v="9165"/>
  </r>
  <r>
    <s v="racine-03-02"/>
    <s v="racine-03"/>
    <s v="Nicholas"/>
    <s v="Racine"/>
    <x v="1"/>
    <d v="2013-07-24T00:00:00"/>
    <s v="wed,thurs"/>
    <x v="0"/>
    <x v="0"/>
    <s v="Kangaroo Room"/>
    <n v="4"/>
    <s v="1100111"/>
    <n v="4845"/>
    <n v="0"/>
    <n v="3520"/>
    <n v="0"/>
    <n v="8365"/>
  </r>
  <r>
    <s v="rawson-02-01"/>
    <s v="rawson-02"/>
    <s v="Bill"/>
    <s v="Rawson"/>
    <x v="1"/>
    <d v="2013-04-05T00:00:00"/>
    <s v="tues,fri"/>
    <x v="0"/>
    <x v="0"/>
    <s v="Kangaroo Room"/>
    <n v="4"/>
    <s v="1011011"/>
    <n v="2125"/>
    <n v="0"/>
    <n v="6080"/>
    <n v="0"/>
    <n v="8205"/>
  </r>
  <r>
    <s v="revell-02-02"/>
    <s v="revell-02"/>
    <s v="Scott"/>
    <s v="Revell"/>
    <x v="1"/>
    <d v="2014-01-25T00:00:00"/>
    <s v="tues,thurs,fri"/>
    <x v="1"/>
    <x v="1"/>
    <s v="Kangaroo Room"/>
    <n v="5"/>
    <s v="1010011"/>
    <n v="990"/>
    <n v="0"/>
    <n v="12155"/>
    <n v="0"/>
    <n v="13145"/>
  </r>
  <r>
    <s v="revell-02-03"/>
    <s v="revell-02"/>
    <s v="Andrew"/>
    <s v="Revell"/>
    <x v="1"/>
    <d v="2017-07-27T00:00:00"/>
    <s v="tues,thurs,fri"/>
    <x v="3"/>
    <x v="3"/>
    <s v="Platypus Room"/>
    <n v="5"/>
    <s v="1010011"/>
    <n v="10560"/>
    <n v="0"/>
    <n v="7260"/>
    <n v="0"/>
    <n v="17820"/>
  </r>
  <r>
    <s v="robinson-03-01"/>
    <s v="robinson-03"/>
    <s v="Kimberly"/>
    <s v="Robinson"/>
    <x v="0"/>
    <d v="2014-11-26T00:00:00"/>
    <s v="mon,wed,thurs"/>
    <x v="1"/>
    <x v="1"/>
    <s v="Kangaroo Room"/>
    <n v="5"/>
    <s v="0100111"/>
    <n v="12240"/>
    <n v="0"/>
    <n v="1275"/>
    <n v="0"/>
    <n v="13515"/>
  </r>
  <r>
    <s v="rodway-03-02"/>
    <s v="rodway-03"/>
    <s v="Angus"/>
    <s v="Rodway"/>
    <x v="1"/>
    <d v="2015-06-21T00:00:00"/>
    <s v="mon,tues,wed,fri"/>
    <x v="2"/>
    <x v="2"/>
    <s v="Koala Room"/>
    <n v="6"/>
    <s v="0001011"/>
    <n v="9765"/>
    <n v="0"/>
    <n v="9540"/>
    <n v="0"/>
    <n v="19305"/>
  </r>
  <r>
    <s v="rule-02-02"/>
    <s v="rule-02"/>
    <s v="Marcos"/>
    <s v="Rule"/>
    <x v="1"/>
    <d v="2013-09-27T00:00:00"/>
    <s v="mon,tues,thurs"/>
    <x v="0"/>
    <x v="0"/>
    <s v="Kangaroo Room"/>
    <n v="5"/>
    <s v="0010111"/>
    <n v="9690"/>
    <n v="0"/>
    <n v="3120"/>
    <n v="0"/>
    <n v="12810"/>
  </r>
  <r>
    <s v="rule-02-03"/>
    <s v="rule-02"/>
    <s v="Albert"/>
    <s v="Rule"/>
    <x v="1"/>
    <d v="2013-09-27T00:00:00"/>
    <s v="mon,tues,thurs"/>
    <x v="0"/>
    <x v="0"/>
    <s v="Kangaroo Room"/>
    <n v="5"/>
    <s v="0010111"/>
    <n v="9690"/>
    <n v="0"/>
    <n v="3120"/>
    <n v="0"/>
    <n v="12810"/>
  </r>
  <r>
    <s v="rule-02-04"/>
    <s v="rule-02"/>
    <s v="Wanda"/>
    <s v="Rule"/>
    <x v="0"/>
    <d v="2013-09-27T00:00:00"/>
    <s v="mon,tues,thurs"/>
    <x v="0"/>
    <x v="0"/>
    <s v="Kangaroo Room"/>
    <n v="5"/>
    <s v="0010111"/>
    <n v="9690"/>
    <n v="0"/>
    <n v="3120"/>
    <n v="0"/>
    <n v="12810"/>
  </r>
  <r>
    <s v="scherer-03-01"/>
    <s v="scherer-03"/>
    <s v="Diana"/>
    <s v="Scherer"/>
    <x v="0"/>
    <d v="2015-07-06T00:00:00"/>
    <s v="mon,wed"/>
    <x v="2"/>
    <x v="2"/>
    <s v="Koala Room"/>
    <n v="4"/>
    <s v="0101111"/>
    <n v="5250"/>
    <n v="0"/>
    <n v="4320"/>
    <n v="0"/>
    <n v="9570"/>
  </r>
  <r>
    <s v="seitz-01-02"/>
    <s v="seitz-01"/>
    <s v="Archer"/>
    <s v="Seitz"/>
    <x v="1"/>
    <d v="2015-07-14T00:00:00"/>
    <s v="tues,fri"/>
    <x v="2"/>
    <x v="2"/>
    <s v="Koala Room"/>
    <n v="4"/>
    <s v="1011011"/>
    <n v="5670"/>
    <n v="0"/>
    <n v="4230"/>
    <n v="0"/>
    <n v="9900"/>
  </r>
  <r>
    <s v="shinosaki-02-01"/>
    <s v="shinosaki-02"/>
    <s v="Jin"/>
    <s v="Shinosaki"/>
    <x v="1"/>
    <d v="2014-07-25T00:00:00"/>
    <s v="wed,thurs,fri,sat"/>
    <x v="1"/>
    <x v="1"/>
    <s v="Kangaroo Room"/>
    <n v="4"/>
    <s v="1100011"/>
    <n v="7650"/>
    <n v="2800"/>
    <n v="5695"/>
    <n v="2660"/>
    <n v="18805"/>
  </r>
  <r>
    <s v="shinosaki-02-02"/>
    <s v="shinosaki-02"/>
    <s v="Kiyoki"/>
    <s v="Shinosaki"/>
    <x v="0"/>
    <d v="2016-11-17T00:00:00"/>
    <s v="wed,thurs,fri,sat"/>
    <x v="4"/>
    <x v="3"/>
    <s v="Emu Room"/>
    <n v="4"/>
    <s v="1100011"/>
    <n v="14740"/>
    <n v="5400"/>
    <n v="1785"/>
    <n v="5175"/>
    <n v="27100"/>
  </r>
  <r>
    <s v="stirling-01-01"/>
    <s v="stirling-01"/>
    <s v="Oscar"/>
    <s v="Stirling"/>
    <x v="1"/>
    <d v="2015-04-07T00:00:00"/>
    <s v="mon,fri,sat"/>
    <x v="2"/>
    <x v="2"/>
    <s v="Koala Room"/>
    <n v="3"/>
    <s v="0111011"/>
    <n v="2520"/>
    <n v="1495"/>
    <n v="6750"/>
    <n v="1300"/>
    <n v="12065"/>
  </r>
  <r>
    <s v="stopford-02-01"/>
    <s v="stopford-02"/>
    <s v="Hudson"/>
    <s v="Stopford"/>
    <x v="1"/>
    <d v="2012-11-30T00:00:00"/>
    <s v="mon,wed,thurs,fri"/>
    <x v="5"/>
    <x v="0"/>
    <s v="NOT ALLOWED"/>
    <n v="6"/>
    <s v="0100011"/>
    <n v="14720"/>
    <n v="0"/>
    <n v="0"/>
    <n v="0"/>
    <n v="14720"/>
  </r>
  <r>
    <s v="sylvestre-01-02"/>
    <s v="sylvestre-01"/>
    <s v="Brendan"/>
    <s v="Sylvestre"/>
    <x v="1"/>
    <d v="2014-11-06T00:00:00"/>
    <s v="mon,tues,wed,thurs,fri,sat"/>
    <x v="1"/>
    <x v="1"/>
    <s v="Kangaroo Room"/>
    <n v="6"/>
    <s v="0000011"/>
    <n v="19260"/>
    <n v="4300"/>
    <n v="3230"/>
    <n v="4085"/>
    <n v="30875"/>
  </r>
  <r>
    <s v="sylvestre-01-03"/>
    <s v="sylvestre-01"/>
    <s v="Jane"/>
    <s v="Sylvestre"/>
    <x v="0"/>
    <d v="2017-02-24T00:00:00"/>
    <s v="mon,tues,wed,thurs,fri,sat"/>
    <x v="3"/>
    <x v="3"/>
    <s v="Platypus Room"/>
    <n v="6"/>
    <s v="0000011"/>
    <n v="4560"/>
    <n v="1040"/>
    <n v="23430"/>
    <n v="960"/>
    <n v="29990"/>
  </r>
  <r>
    <s v="tabata-02-01"/>
    <s v="tabata-02"/>
    <s v="Sei"/>
    <s v="Tabata"/>
    <x v="1"/>
    <d v="2017-03-19T00:00:00"/>
    <s v="tues,wed,thurs,fri,sat"/>
    <x v="3"/>
    <x v="3"/>
    <s v="Platypus Room"/>
    <n v="5"/>
    <s v="1000011"/>
    <n v="5160"/>
    <n v="1430"/>
    <n v="17490"/>
    <n v="1320"/>
    <n v="25400"/>
  </r>
  <r>
    <s v="tabata-02-02"/>
    <s v="tabata-02"/>
    <s v="Sato"/>
    <s v="Tabata"/>
    <x v="0"/>
    <d v="2017-03-19T00:00:00"/>
    <s v="tues,wed,thurs,fri,sat"/>
    <x v="3"/>
    <x v="3"/>
    <s v="Platypus Room"/>
    <n v="5"/>
    <s v="1000011"/>
    <n v="5160"/>
    <n v="1430"/>
    <n v="17490"/>
    <n v="1320"/>
    <n v="25400"/>
  </r>
  <r>
    <s v="takayama-01-03"/>
    <s v="takayama-01"/>
    <s v="Makito"/>
    <s v="Takayama"/>
    <x v="1"/>
    <d v="2013-12-29T00:00:00"/>
    <s v="mon,tues,wed,thurs,fri,sat"/>
    <x v="0"/>
    <x v="0"/>
    <s v="Kangaroo Room"/>
    <n v="6"/>
    <s v="0000011"/>
    <n v="21250"/>
    <n v="4845"/>
    <n v="80"/>
    <n v="4590"/>
    <n v="30765"/>
  </r>
  <r>
    <s v="takayama-01-02"/>
    <s v="takayama-01"/>
    <s v="Tomo"/>
    <s v="Takayama"/>
    <x v="0"/>
    <d v="2015-07-06T00:00:00"/>
    <s v="mon,tues,wed,thurs,fri,sat"/>
    <x v="2"/>
    <x v="2"/>
    <s v="Koala Room"/>
    <n v="6"/>
    <s v="0000011"/>
    <n v="13545"/>
    <n v="2990"/>
    <n v="11070"/>
    <n v="2500"/>
    <n v="30105"/>
  </r>
  <r>
    <s v="takayama-01-01"/>
    <s v="takayama-01"/>
    <s v="Issei"/>
    <s v="Takayama"/>
    <x v="1"/>
    <d v="2017-09-16T00:00:00"/>
    <s v="mon,tues,wed,thurs,fri,sat"/>
    <x v="3"/>
    <x v="3"/>
    <s v="Platypus Room"/>
    <n v="6"/>
    <s v="0000011"/>
    <n v="21360"/>
    <n v="4680"/>
    <n v="8030"/>
    <n v="4320"/>
    <n v="38390"/>
  </r>
  <r>
    <s v="tani-01-03"/>
    <s v="tani-01"/>
    <s v="Takato"/>
    <s v="Tani"/>
    <x v="1"/>
    <d v="2013-05-16T00:00:00"/>
    <s v="tues,wed,thurs,fri"/>
    <x v="0"/>
    <x v="0"/>
    <s v="Kangaroo Room"/>
    <n v="6"/>
    <s v="1000011"/>
    <n v="6375"/>
    <n v="0"/>
    <n v="10240"/>
    <n v="0"/>
    <n v="16615"/>
  </r>
  <r>
    <s v="tani-01-02"/>
    <s v="tani-01"/>
    <s v="Nina"/>
    <s v="Tani"/>
    <x v="0"/>
    <d v="2015-06-30T00:00:00"/>
    <s v="tues,wed,thurs,fri"/>
    <x v="2"/>
    <x v="2"/>
    <s v="Koala Room"/>
    <n v="6"/>
    <s v="1000011"/>
    <n v="10605"/>
    <n v="0"/>
    <n v="9090"/>
    <n v="0"/>
    <n v="19695"/>
  </r>
  <r>
    <s v="tiller-02-02"/>
    <s v="tiller-02"/>
    <s v="Andrew"/>
    <s v="Tiller"/>
    <x v="1"/>
    <d v="2016-06-04T00:00:00"/>
    <s v="mon,wed,thurs"/>
    <x v="4"/>
    <x v="3"/>
    <s v="Emu Room"/>
    <n v="5"/>
    <s v="0100111"/>
    <n v="6930"/>
    <n v="0"/>
    <n v="9240"/>
    <n v="0"/>
    <n v="16170"/>
  </r>
  <r>
    <s v="timbery-01-02"/>
    <s v="timbery-01"/>
    <s v="Timothy"/>
    <s v="Timbery"/>
    <x v="1"/>
    <d v="2015-01-27T00:00:00"/>
    <s v="tues,wed,thurs"/>
    <x v="2"/>
    <x v="2"/>
    <s v="Koala Room"/>
    <n v="5"/>
    <s v="1000111"/>
    <n v="1260"/>
    <n v="0"/>
    <n v="12600"/>
    <n v="0"/>
    <n v="13860"/>
  </r>
  <r>
    <s v="valencia-02-02"/>
    <s v="valencia-02"/>
    <s v="Jordon"/>
    <s v="Valencia"/>
    <x v="1"/>
    <d v="2015-10-26T00:00:00"/>
    <s v="mon,tues"/>
    <x v="2"/>
    <x v="2"/>
    <s v="Koala Room"/>
    <n v="4"/>
    <s v="0011111"/>
    <n v="8610"/>
    <n v="0"/>
    <n v="1620"/>
    <n v="0"/>
    <n v="10230"/>
  </r>
  <r>
    <s v="watson-01-01"/>
    <s v="watson-01"/>
    <s v="William"/>
    <s v="Watson"/>
    <x v="1"/>
    <d v="2015-04-18T00:00:00"/>
    <s v="wed"/>
    <x v="2"/>
    <x v="2"/>
    <s v="Koala Room"/>
    <n v="3"/>
    <s v="1101111"/>
    <n v="1680"/>
    <n v="0"/>
    <n v="3060"/>
    <n v="0"/>
    <n v="4740"/>
  </r>
  <r>
    <s v="winterbotham-03-02"/>
    <s v="winterbotham-03"/>
    <s v="Charlotte"/>
    <s v="Winterbotham"/>
    <x v="0"/>
    <d v="2015-08-21T00:00:00"/>
    <s v="mon,thurs,fri"/>
    <x v="2"/>
    <x v="2"/>
    <s v="Koala Room"/>
    <n v="5"/>
    <s v="0110011"/>
    <n v="9975"/>
    <n v="0"/>
    <n v="5040"/>
    <n v="0"/>
    <n v="15015"/>
  </r>
  <r>
    <s v="yoshihara-03-01"/>
    <s v="yoshihara-03"/>
    <s v="Ei"/>
    <s v="Yoshihara"/>
    <x v="1"/>
    <d v="2015-07-15T00:00:00"/>
    <s v="thurs,fri,sat"/>
    <x v="2"/>
    <x v="2"/>
    <s v="Koala Room"/>
    <n v="3"/>
    <s v="1110011"/>
    <n v="5670"/>
    <n v="3105"/>
    <n v="4320"/>
    <n v="2700"/>
    <n v="15795"/>
  </r>
  <r>
    <s v="yoshihara-03-02"/>
    <s v="yoshihara-03"/>
    <s v="Ayuka"/>
    <s v="Yoshihara"/>
    <x v="0"/>
    <d v="2015-07-15T00:00:00"/>
    <s v="thurs,fri,sat"/>
    <x v="2"/>
    <x v="2"/>
    <s v="Koala Room"/>
    <n v="3"/>
    <s v="1110011"/>
    <n v="5670"/>
    <n v="3105"/>
    <n v="4320"/>
    <n v="2700"/>
    <n v="15795"/>
  </r>
  <r>
    <s v="yost-02-02"/>
    <s v="yost-02"/>
    <s v="Cynthia"/>
    <s v="Yost"/>
    <x v="0"/>
    <d v="2013-05-08T00:00:00"/>
    <s v="mon,tues,thurs,fri,sat"/>
    <x v="0"/>
    <x v="0"/>
    <s v="Kangaroo Room"/>
    <n v="5"/>
    <s v="0010011"/>
    <n v="5865"/>
    <n v="1615"/>
    <n v="10720"/>
    <n v="1530"/>
    <n v="19730"/>
  </r>
  <r>
    <s v="yost-02-03"/>
    <s v="yost-02"/>
    <s v="Juan"/>
    <s v="Yost"/>
    <x v="1"/>
    <d v="2013-05-08T00:00:00"/>
    <s v="mon,tues,thurs,fri,sat"/>
    <x v="0"/>
    <x v="0"/>
    <s v="Kangaroo Room"/>
    <n v="5"/>
    <s v="0010011"/>
    <n v="5865"/>
    <n v="1615"/>
    <n v="10720"/>
    <n v="1530"/>
    <n v="19730"/>
  </r>
  <r>
    <s v="yost-02-04"/>
    <s v="yost-02"/>
    <s v="Catherine"/>
    <s v="Yost"/>
    <x v="0"/>
    <d v="2013-05-08T00:00:00"/>
    <s v="mon,tues,thurs,fri,sat"/>
    <x v="0"/>
    <x v="0"/>
    <s v="Kangaroo Room"/>
    <n v="5"/>
    <s v="0010011"/>
    <n v="5865"/>
    <n v="1615"/>
    <n v="10720"/>
    <n v="1530"/>
    <n v="19730"/>
  </r>
  <r>
    <s v="yost-02-05"/>
    <s v="yost-02"/>
    <s v="Angelica"/>
    <s v="Yost"/>
    <x v="0"/>
    <d v="2017-11-16T00:00:00"/>
    <s v="mon,tues,thurs,fri,sat"/>
    <x v="3"/>
    <x v="3"/>
    <s v="Platypus Room"/>
    <n v="5"/>
    <s v="0010011"/>
    <n v="21360"/>
    <n v="5850"/>
    <n v="2750"/>
    <n v="5280"/>
    <n v="352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8B3B69-3C17-4577-91A7-DDC02116FA90}"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Initial Room" colHeaderCaption="">
  <location ref="A3:D15" firstHeaderRow="1" firstDataRow="2" firstDataCol="1"/>
  <pivotFields count="17">
    <pivotField showAll="0"/>
    <pivotField showAll="0"/>
    <pivotField showAll="0"/>
    <pivotField showAll="0"/>
    <pivotField axis="axisCol" dataField="1" showAll="0">
      <items count="3">
        <item x="0"/>
        <item x="1"/>
        <item t="default"/>
      </items>
    </pivotField>
    <pivotField numFmtId="14" showAll="0"/>
    <pivotField showAll="0"/>
    <pivotField axis="axisRow" numFmtId="1" showAll="0">
      <items count="7">
        <item x="3"/>
        <item x="4"/>
        <item x="2"/>
        <item x="1"/>
        <item x="0"/>
        <item x="5"/>
        <item t="default"/>
      </items>
    </pivotField>
    <pivotField axis="axisRow" showAll="0">
      <items count="5">
        <item x="2"/>
        <item x="0"/>
        <item x="1"/>
        <item x="3"/>
        <item t="default"/>
      </items>
    </pivotField>
    <pivotField showAll="0"/>
    <pivotField showAll="0"/>
    <pivotField showAll="0"/>
    <pivotField numFmtId="44" showAll="0"/>
    <pivotField numFmtId="44" showAll="0"/>
    <pivotField numFmtId="44" showAll="0"/>
    <pivotField numFmtId="44" showAll="0"/>
    <pivotField numFmtId="44" showAll="0"/>
  </pivotFields>
  <rowFields count="2">
    <field x="8"/>
    <field x="7"/>
  </rowFields>
  <rowItems count="11">
    <i>
      <x/>
    </i>
    <i r="1">
      <x v="2"/>
    </i>
    <i>
      <x v="1"/>
    </i>
    <i r="1">
      <x v="4"/>
    </i>
    <i r="1">
      <x v="5"/>
    </i>
    <i>
      <x v="2"/>
    </i>
    <i r="1">
      <x v="3"/>
    </i>
    <i>
      <x v="3"/>
    </i>
    <i r="1">
      <x/>
    </i>
    <i r="1">
      <x v="1"/>
    </i>
    <i t="grand">
      <x/>
    </i>
  </rowItems>
  <colFields count="1">
    <field x="4"/>
  </colFields>
  <colItems count="3">
    <i>
      <x/>
    </i>
    <i>
      <x v="1"/>
    </i>
    <i t="grand">
      <x/>
    </i>
  </colItems>
  <dataFields count="1">
    <dataField name="Initial Number of Male and Female in Sunshine Childcare Rooms" fld="4" subtotal="count" baseField="0" baseItem="0"/>
  </dataFields>
  <chartFormats count="2">
    <chartFormat chart="2" format="2" series="1">
      <pivotArea type="data" outline="0" fieldPosition="0">
        <references count="2">
          <reference field="4294967294" count="1" selected="0">
            <x v="0"/>
          </reference>
          <reference field="4" count="1" selected="0">
            <x v="0"/>
          </reference>
        </references>
      </pivotArea>
    </chartFormat>
    <chartFormat chart="2" format="3" series="1">
      <pivotArea type="data" outline="0" fieldPosition="0">
        <references count="2">
          <reference field="4294967294" count="1" selected="0">
            <x v="0"/>
          </reference>
          <reference field="4" count="1" selected="0">
            <x v="1"/>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7"/>
  <sheetViews>
    <sheetView topLeftCell="A8" zoomScale="55" zoomScaleNormal="55" workbookViewId="0">
      <selection activeCell="A26" sqref="A26"/>
    </sheetView>
  </sheetViews>
  <sheetFormatPr defaultColWidth="10.7890625" defaultRowHeight="16" x14ac:dyDescent="0.8"/>
  <cols>
    <col min="1" max="1" width="25.7890625" customWidth="1"/>
    <col min="2" max="2" width="5.7890625" customWidth="1"/>
    <col min="3" max="4" width="25.7890625" customWidth="1"/>
    <col min="5" max="5" width="5.7890625" customWidth="1"/>
    <col min="6" max="10" width="12.7890625" customWidth="1"/>
  </cols>
  <sheetData>
    <row r="1" spans="1:10" x14ac:dyDescent="0.8">
      <c r="A1" s="55" t="s">
        <v>652</v>
      </c>
      <c r="B1" s="55"/>
      <c r="C1" s="55"/>
      <c r="D1" s="55"/>
      <c r="E1" s="55"/>
      <c r="F1" s="55"/>
      <c r="G1" s="55"/>
      <c r="H1" s="55"/>
      <c r="I1" s="55"/>
      <c r="J1" s="55"/>
    </row>
    <row r="2" spans="1:10" x14ac:dyDescent="0.8">
      <c r="A2" s="56" t="s">
        <v>651</v>
      </c>
      <c r="B2" s="56"/>
      <c r="C2" s="56"/>
      <c r="D2" s="56"/>
      <c r="E2" s="56"/>
      <c r="F2" s="56"/>
      <c r="G2" s="56"/>
      <c r="H2" s="56"/>
      <c r="I2" s="56"/>
      <c r="J2" s="56"/>
    </row>
    <row r="3" spans="1:10" x14ac:dyDescent="0.8">
      <c r="A3" s="55" t="s">
        <v>646</v>
      </c>
      <c r="B3" s="55"/>
      <c r="C3" s="55"/>
      <c r="D3" s="55"/>
      <c r="E3" s="55"/>
      <c r="F3" s="55"/>
      <c r="G3" s="55"/>
      <c r="H3" s="55"/>
      <c r="I3" s="55"/>
      <c r="J3" s="55"/>
    </row>
    <row r="5" spans="1:10" x14ac:dyDescent="0.8">
      <c r="A5" s="56" t="s">
        <v>647</v>
      </c>
      <c r="B5" s="56"/>
      <c r="C5" s="56"/>
      <c r="D5" s="56"/>
      <c r="E5" s="56"/>
      <c r="F5" s="56"/>
      <c r="G5" s="56"/>
      <c r="H5" s="56"/>
      <c r="I5" s="56"/>
      <c r="J5" s="56"/>
    </row>
    <row r="7" spans="1:10" x14ac:dyDescent="0.8">
      <c r="A7" s="55" t="s">
        <v>648</v>
      </c>
      <c r="B7" s="55"/>
      <c r="C7" s="55"/>
      <c r="D7" s="55"/>
      <c r="F7" s="59" t="s">
        <v>653</v>
      </c>
      <c r="G7" s="59"/>
      <c r="H7" s="59"/>
      <c r="I7" s="59"/>
      <c r="J7" s="59"/>
    </row>
    <row r="8" spans="1:10" x14ac:dyDescent="0.8">
      <c r="A8" s="2" t="s">
        <v>649</v>
      </c>
      <c r="C8" s="2" t="s">
        <v>80</v>
      </c>
      <c r="D8" s="2" t="s">
        <v>357</v>
      </c>
      <c r="F8" s="59"/>
      <c r="G8" s="59"/>
      <c r="H8" s="59"/>
      <c r="I8" s="59"/>
      <c r="J8" s="59"/>
    </row>
    <row r="9" spans="1:10" x14ac:dyDescent="0.8">
      <c r="A9" s="2">
        <v>45238952</v>
      </c>
      <c r="C9" s="2" t="s">
        <v>784</v>
      </c>
      <c r="D9" s="2" t="s">
        <v>785</v>
      </c>
      <c r="F9" s="59"/>
      <c r="G9" s="59"/>
      <c r="H9" s="59"/>
      <c r="I9" s="59"/>
      <c r="J9" s="59"/>
    </row>
    <row r="11" spans="1:10" x14ac:dyDescent="0.8">
      <c r="A11" s="55" t="s">
        <v>787</v>
      </c>
      <c r="B11" s="55"/>
      <c r="C11" s="55"/>
      <c r="D11" s="55"/>
      <c r="E11" s="55"/>
      <c r="F11" s="55"/>
      <c r="G11" s="55"/>
      <c r="H11" s="55"/>
      <c r="I11" s="55"/>
      <c r="J11" s="55"/>
    </row>
    <row r="12" spans="1:10" x14ac:dyDescent="0.8">
      <c r="A12" s="56"/>
      <c r="B12" s="56"/>
      <c r="C12" s="56"/>
      <c r="D12" s="56"/>
      <c r="E12" s="56"/>
      <c r="F12" s="56"/>
      <c r="G12" s="56"/>
      <c r="H12" s="56"/>
      <c r="I12" s="56"/>
      <c r="J12" s="56"/>
    </row>
    <row r="13" spans="1:10" x14ac:dyDescent="0.8">
      <c r="A13" s="57" t="s">
        <v>788</v>
      </c>
      <c r="B13" s="58"/>
      <c r="C13" s="58"/>
      <c r="D13" s="58"/>
      <c r="E13" s="58"/>
      <c r="F13" s="58"/>
      <c r="G13" s="58"/>
      <c r="H13" s="58"/>
      <c r="I13" s="58"/>
      <c r="J13" s="58"/>
    </row>
    <row r="14" spans="1:10" x14ac:dyDescent="0.8">
      <c r="A14" s="58"/>
      <c r="B14" s="58"/>
      <c r="C14" s="58"/>
      <c r="D14" s="58"/>
      <c r="E14" s="58"/>
      <c r="F14" s="58"/>
      <c r="G14" s="58"/>
      <c r="H14" s="58"/>
      <c r="I14" s="58"/>
      <c r="J14" s="58"/>
    </row>
    <row r="15" spans="1:10" x14ac:dyDescent="0.8">
      <c r="A15" s="58"/>
      <c r="B15" s="58"/>
      <c r="C15" s="58"/>
      <c r="D15" s="58"/>
      <c r="E15" s="58"/>
      <c r="F15" s="58"/>
      <c r="G15" s="58"/>
      <c r="H15" s="58"/>
      <c r="I15" s="58"/>
      <c r="J15" s="58"/>
    </row>
    <row r="16" spans="1:10" x14ac:dyDescent="0.8">
      <c r="A16" s="58"/>
      <c r="B16" s="58"/>
      <c r="C16" s="58"/>
      <c r="D16" s="58"/>
      <c r="E16" s="58"/>
      <c r="F16" s="58"/>
      <c r="G16" s="58"/>
      <c r="H16" s="58"/>
      <c r="I16" s="58"/>
      <c r="J16" s="58"/>
    </row>
    <row r="17" spans="1:10" x14ac:dyDescent="0.8">
      <c r="A17" s="58"/>
      <c r="B17" s="58"/>
      <c r="C17" s="58"/>
      <c r="D17" s="58"/>
      <c r="E17" s="58"/>
      <c r="F17" s="58"/>
      <c r="G17" s="58"/>
      <c r="H17" s="58"/>
      <c r="I17" s="58"/>
      <c r="J17" s="58"/>
    </row>
    <row r="18" spans="1:10" x14ac:dyDescent="0.8">
      <c r="A18" s="58"/>
      <c r="B18" s="58"/>
      <c r="C18" s="58"/>
      <c r="D18" s="58"/>
      <c r="E18" s="58"/>
      <c r="F18" s="58"/>
      <c r="G18" s="58"/>
      <c r="H18" s="58"/>
      <c r="I18" s="58"/>
      <c r="J18" s="58"/>
    </row>
    <row r="19" spans="1:10" x14ac:dyDescent="0.8">
      <c r="A19" s="58"/>
      <c r="B19" s="58"/>
      <c r="C19" s="58"/>
      <c r="D19" s="58"/>
      <c r="E19" s="58"/>
      <c r="F19" s="58"/>
      <c r="G19" s="58"/>
      <c r="H19" s="58"/>
      <c r="I19" s="58"/>
      <c r="J19" s="58"/>
    </row>
    <row r="20" spans="1:10" x14ac:dyDescent="0.8">
      <c r="A20" s="58"/>
      <c r="B20" s="58"/>
      <c r="C20" s="58"/>
      <c r="D20" s="58"/>
      <c r="E20" s="58"/>
      <c r="F20" s="58"/>
      <c r="G20" s="58"/>
      <c r="H20" s="58"/>
      <c r="I20" s="58"/>
      <c r="J20" s="58"/>
    </row>
    <row r="21" spans="1:10" x14ac:dyDescent="0.8">
      <c r="A21" s="58"/>
      <c r="B21" s="58"/>
      <c r="C21" s="58"/>
      <c r="D21" s="58"/>
      <c r="E21" s="58"/>
      <c r="F21" s="58"/>
      <c r="G21" s="58"/>
      <c r="H21" s="58"/>
      <c r="I21" s="58"/>
      <c r="J21" s="58"/>
    </row>
    <row r="22" spans="1:10" x14ac:dyDescent="0.8">
      <c r="A22" s="58"/>
      <c r="B22" s="58"/>
      <c r="C22" s="58"/>
      <c r="D22" s="58"/>
      <c r="E22" s="58"/>
      <c r="F22" s="58"/>
      <c r="G22" s="58"/>
      <c r="H22" s="58"/>
      <c r="I22" s="58"/>
      <c r="J22" s="58"/>
    </row>
    <row r="23" spans="1:10" x14ac:dyDescent="0.8">
      <c r="A23" s="58"/>
      <c r="B23" s="58"/>
      <c r="C23" s="58"/>
      <c r="D23" s="58"/>
      <c r="E23" s="58"/>
      <c r="F23" s="58"/>
      <c r="G23" s="58"/>
      <c r="H23" s="58"/>
      <c r="I23" s="58"/>
      <c r="J23" s="58"/>
    </row>
    <row r="24" spans="1:10" x14ac:dyDescent="0.8">
      <c r="A24" s="58"/>
      <c r="B24" s="58"/>
      <c r="C24" s="58"/>
      <c r="D24" s="58"/>
      <c r="E24" s="58"/>
      <c r="F24" s="58"/>
      <c r="G24" s="58"/>
      <c r="H24" s="58"/>
      <c r="I24" s="58"/>
      <c r="J24" s="58"/>
    </row>
    <row r="25" spans="1:10" x14ac:dyDescent="0.8">
      <c r="A25" s="58"/>
      <c r="B25" s="58"/>
      <c r="C25" s="58"/>
      <c r="D25" s="58"/>
      <c r="E25" s="58"/>
      <c r="F25" s="58"/>
      <c r="G25" s="58"/>
      <c r="H25" s="58"/>
      <c r="I25" s="58"/>
      <c r="J25" s="58"/>
    </row>
    <row r="27" spans="1:10" x14ac:dyDescent="0.8">
      <c r="A27" s="56" t="s">
        <v>650</v>
      </c>
      <c r="B27" s="56"/>
      <c r="C27" s="56"/>
      <c r="D27" s="56"/>
      <c r="E27" s="56"/>
      <c r="F27" s="56"/>
      <c r="G27" s="56"/>
      <c r="H27" s="56"/>
      <c r="I27" s="56"/>
      <c r="J27" s="56"/>
    </row>
  </sheetData>
  <mergeCells count="10">
    <mergeCell ref="A11:J11"/>
    <mergeCell ref="A12:J12"/>
    <mergeCell ref="A13:J25"/>
    <mergeCell ref="A27:J27"/>
    <mergeCell ref="A1:J1"/>
    <mergeCell ref="A2:J2"/>
    <mergeCell ref="A3:J3"/>
    <mergeCell ref="A5:J5"/>
    <mergeCell ref="A7:D7"/>
    <mergeCell ref="F7:J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X15"/>
  <sheetViews>
    <sheetView topLeftCell="M4" zoomScale="85" zoomScaleNormal="85" workbookViewId="0">
      <selection activeCell="R8" sqref="R8"/>
    </sheetView>
  </sheetViews>
  <sheetFormatPr defaultColWidth="10.7890625" defaultRowHeight="16" x14ac:dyDescent="0.8"/>
  <cols>
    <col min="1" max="1" width="12.1640625" bestFit="1" customWidth="1"/>
    <col min="2" max="2" width="11.125" bestFit="1" customWidth="1"/>
    <col min="3" max="3" width="15.9140625" customWidth="1"/>
    <col min="5" max="5" width="16.0390625" bestFit="1" customWidth="1"/>
    <col min="6" max="6" width="14.5390625" bestFit="1" customWidth="1"/>
    <col min="7" max="7" width="8.5" customWidth="1"/>
    <col min="8" max="8" width="24.25" customWidth="1"/>
    <col min="9" max="9" width="12.6640625" customWidth="1"/>
    <col min="10" max="10" width="6.45703125" customWidth="1"/>
    <col min="11" max="11" width="14.95703125" customWidth="1"/>
    <col min="12" max="12" width="21.83203125" customWidth="1"/>
    <col min="15" max="15" width="13.75" bestFit="1" customWidth="1"/>
    <col min="17" max="17" width="20.4140625" bestFit="1" customWidth="1"/>
    <col min="20" max="20" width="14.83203125" bestFit="1" customWidth="1"/>
    <col min="23" max="23" width="14.95703125" bestFit="1" customWidth="1"/>
    <col min="24" max="24" width="12.08203125" bestFit="1" customWidth="1"/>
  </cols>
  <sheetData>
    <row r="2" spans="1:24" x14ac:dyDescent="0.8">
      <c r="A2" s="55" t="s">
        <v>654</v>
      </c>
      <c r="B2" s="55"/>
      <c r="C2" s="55"/>
      <c r="E2" s="55" t="s">
        <v>663</v>
      </c>
      <c r="F2" s="55"/>
      <c r="H2" s="55" t="s">
        <v>658</v>
      </c>
      <c r="I2" s="55"/>
      <c r="K2" s="55" t="s">
        <v>660</v>
      </c>
      <c r="L2" s="55"/>
      <c r="N2" s="55" t="s">
        <v>661</v>
      </c>
      <c r="O2" s="55"/>
      <c r="Q2" s="55" t="s">
        <v>666</v>
      </c>
      <c r="R2" s="55"/>
      <c r="T2" s="55" t="s">
        <v>673</v>
      </c>
      <c r="U2" s="55"/>
      <c r="W2" s="55" t="s">
        <v>686</v>
      </c>
      <c r="X2" s="55"/>
    </row>
    <row r="3" spans="1:24" x14ac:dyDescent="0.8">
      <c r="A3" s="1" t="s">
        <v>655</v>
      </c>
      <c r="B3" s="1" t="s">
        <v>656</v>
      </c>
      <c r="C3" s="1" t="s">
        <v>657</v>
      </c>
      <c r="E3" s="1" t="s">
        <v>664</v>
      </c>
      <c r="F3" s="1" t="s">
        <v>665</v>
      </c>
      <c r="H3" s="1" t="s">
        <v>3</v>
      </c>
      <c r="I3" s="1" t="s">
        <v>659</v>
      </c>
      <c r="K3" s="1" t="s">
        <v>611</v>
      </c>
      <c r="L3" s="1" t="s">
        <v>659</v>
      </c>
      <c r="N3" s="1" t="s">
        <v>611</v>
      </c>
      <c r="O3" s="1" t="s">
        <v>662</v>
      </c>
      <c r="Q3" s="4" t="s">
        <v>667</v>
      </c>
      <c r="R3" s="2">
        <v>50</v>
      </c>
      <c r="T3" s="2" t="s">
        <v>674</v>
      </c>
      <c r="U3" s="14">
        <v>43101</v>
      </c>
      <c r="W3" s="1" t="s">
        <v>611</v>
      </c>
      <c r="X3" s="1" t="s">
        <v>687</v>
      </c>
    </row>
    <row r="4" spans="1:24" x14ac:dyDescent="0.8">
      <c r="A4" s="9">
        <v>0</v>
      </c>
      <c r="B4" s="9">
        <v>0</v>
      </c>
      <c r="C4" s="2">
        <v>0</v>
      </c>
      <c r="E4" s="9">
        <v>55874</v>
      </c>
      <c r="F4" s="2">
        <v>0.04</v>
      </c>
      <c r="H4" s="2" t="s">
        <v>20</v>
      </c>
      <c r="I4" s="15">
        <v>0.125</v>
      </c>
      <c r="K4" s="3">
        <v>25</v>
      </c>
      <c r="L4" s="15">
        <v>2.5000000000000001E-2</v>
      </c>
      <c r="N4" s="2">
        <v>0</v>
      </c>
      <c r="O4" s="2" t="s">
        <v>705</v>
      </c>
      <c r="Q4" s="1" t="s">
        <v>668</v>
      </c>
      <c r="R4" s="2">
        <v>0.71899999999999997</v>
      </c>
      <c r="T4" s="2" t="s">
        <v>675</v>
      </c>
      <c r="U4" s="14">
        <v>43126</v>
      </c>
      <c r="W4" s="2">
        <v>0</v>
      </c>
      <c r="X4" s="9">
        <v>120</v>
      </c>
    </row>
    <row r="5" spans="1:24" x14ac:dyDescent="0.8">
      <c r="A5" s="9">
        <v>18200</v>
      </c>
      <c r="B5" s="9">
        <v>0</v>
      </c>
      <c r="C5" s="2">
        <v>0.19</v>
      </c>
      <c r="E5" s="9">
        <v>62239</v>
      </c>
      <c r="F5" s="2">
        <v>4.4999999999999998E-2</v>
      </c>
      <c r="H5" s="2" t="s">
        <v>32</v>
      </c>
      <c r="I5" s="15">
        <v>0.12</v>
      </c>
      <c r="K5" s="2">
        <v>35</v>
      </c>
      <c r="L5" s="16">
        <v>0.03</v>
      </c>
      <c r="N5" s="3">
        <v>2</v>
      </c>
      <c r="O5" s="2" t="s">
        <v>706</v>
      </c>
      <c r="Q5" s="1" t="s">
        <v>669</v>
      </c>
      <c r="R5" s="2">
        <v>45114</v>
      </c>
      <c r="T5" s="2" t="s">
        <v>676</v>
      </c>
      <c r="U5" s="14">
        <v>43189</v>
      </c>
      <c r="W5" s="2">
        <v>1</v>
      </c>
      <c r="X5" s="9">
        <v>110</v>
      </c>
    </row>
    <row r="6" spans="1:24" x14ac:dyDescent="0.8">
      <c r="A6" s="9">
        <v>37000</v>
      </c>
      <c r="B6" s="9">
        <v>3572</v>
      </c>
      <c r="C6" s="2">
        <v>0.32500000000000001</v>
      </c>
      <c r="E6" s="9">
        <v>68603</v>
      </c>
      <c r="F6" s="2">
        <v>0.05</v>
      </c>
      <c r="H6" s="2" t="s">
        <v>40</v>
      </c>
      <c r="I6" s="15">
        <v>0.115</v>
      </c>
      <c r="K6" s="2">
        <v>45</v>
      </c>
      <c r="L6" s="15">
        <v>3.5000000000000003E-2</v>
      </c>
      <c r="N6" s="3">
        <v>3</v>
      </c>
      <c r="O6" s="2" t="s">
        <v>707</v>
      </c>
      <c r="Q6" s="1" t="s">
        <v>670</v>
      </c>
      <c r="R6" s="2">
        <v>6.4999999999999996E-6</v>
      </c>
      <c r="T6" s="2" t="s">
        <v>677</v>
      </c>
      <c r="U6" s="14">
        <v>43190</v>
      </c>
      <c r="W6" s="2">
        <v>2</v>
      </c>
      <c r="X6" s="9">
        <v>105</v>
      </c>
    </row>
    <row r="7" spans="1:24" x14ac:dyDescent="0.8">
      <c r="A7" s="9">
        <v>87000</v>
      </c>
      <c r="B7" s="9">
        <v>19822</v>
      </c>
      <c r="C7" s="2">
        <v>0.37</v>
      </c>
      <c r="E7" s="9">
        <v>72208</v>
      </c>
      <c r="F7" s="2">
        <v>5.5E-2</v>
      </c>
      <c r="H7" s="17" t="s">
        <v>63</v>
      </c>
      <c r="I7" s="15">
        <v>0.11</v>
      </c>
      <c r="K7" s="2">
        <v>50</v>
      </c>
      <c r="L7" s="16">
        <v>0.05</v>
      </c>
      <c r="N7" s="3">
        <v>4</v>
      </c>
      <c r="O7" s="2" t="s">
        <v>708</v>
      </c>
      <c r="Q7" s="1" t="s">
        <v>671</v>
      </c>
      <c r="R7" s="2">
        <v>0.5</v>
      </c>
      <c r="T7" s="2" t="s">
        <v>678</v>
      </c>
      <c r="U7" s="14">
        <v>43191</v>
      </c>
      <c r="W7" s="2">
        <v>3</v>
      </c>
      <c r="X7" s="9">
        <v>90</v>
      </c>
    </row>
    <row r="8" spans="1:24" x14ac:dyDescent="0.8">
      <c r="A8" s="9">
        <v>180000</v>
      </c>
      <c r="B8" s="9">
        <v>54232</v>
      </c>
      <c r="C8" s="2">
        <v>0.45</v>
      </c>
      <c r="E8" s="9">
        <v>77619</v>
      </c>
      <c r="F8" s="2">
        <v>0.06</v>
      </c>
      <c r="H8" s="2" t="s">
        <v>46</v>
      </c>
      <c r="I8" s="15">
        <v>0.1</v>
      </c>
      <c r="Q8" s="1" t="s">
        <v>672</v>
      </c>
      <c r="R8" s="2">
        <v>7613</v>
      </c>
      <c r="T8" s="2" t="s">
        <v>679</v>
      </c>
      <c r="U8" s="14">
        <v>43192</v>
      </c>
      <c r="W8" s="2">
        <v>4</v>
      </c>
      <c r="X8" s="9">
        <v>85</v>
      </c>
    </row>
    <row r="9" spans="1:24" x14ac:dyDescent="0.8">
      <c r="E9" s="9">
        <v>84063</v>
      </c>
      <c r="F9" s="2">
        <v>6.5000000000000002E-2</v>
      </c>
      <c r="H9" s="2" t="s">
        <v>53</v>
      </c>
      <c r="I9" s="15">
        <v>9.5000000000000001E-2</v>
      </c>
      <c r="T9" s="2" t="s">
        <v>680</v>
      </c>
      <c r="U9" s="14">
        <v>43215</v>
      </c>
      <c r="W9" s="2">
        <v>5</v>
      </c>
      <c r="X9" s="9">
        <v>80</v>
      </c>
    </row>
    <row r="10" spans="1:24" x14ac:dyDescent="0.8">
      <c r="E10" s="9">
        <v>88487</v>
      </c>
      <c r="F10" s="2">
        <v>7.0000000000000007E-2</v>
      </c>
      <c r="H10" s="2" t="s">
        <v>23</v>
      </c>
      <c r="I10" s="15">
        <v>0.1</v>
      </c>
      <c r="T10" s="2" t="s">
        <v>681</v>
      </c>
      <c r="U10" s="14">
        <v>43227</v>
      </c>
      <c r="W10" s="2">
        <v>6</v>
      </c>
      <c r="X10" s="9" t="s">
        <v>689</v>
      </c>
    </row>
    <row r="11" spans="1:24" x14ac:dyDescent="0.8">
      <c r="E11" s="9">
        <v>97378</v>
      </c>
      <c r="F11" s="2">
        <v>7.4999999999999997E-2</v>
      </c>
      <c r="H11" s="2" t="s">
        <v>35</v>
      </c>
      <c r="I11" s="15">
        <v>9.5000000000000001E-2</v>
      </c>
      <c r="T11" s="2" t="s">
        <v>682</v>
      </c>
      <c r="U11" s="14">
        <v>43327</v>
      </c>
      <c r="W11" s="1" t="s">
        <v>688</v>
      </c>
      <c r="X11" s="18">
        <v>10</v>
      </c>
    </row>
    <row r="12" spans="1:24" x14ac:dyDescent="0.8">
      <c r="E12" s="9">
        <v>103766</v>
      </c>
      <c r="F12" s="2">
        <v>0.08</v>
      </c>
      <c r="H12" s="2" t="s">
        <v>58</v>
      </c>
      <c r="I12" s="15">
        <v>9.5000000000000001E-2</v>
      </c>
      <c r="T12" s="2" t="s">
        <v>683</v>
      </c>
      <c r="U12" s="14">
        <v>43374</v>
      </c>
    </row>
    <row r="13" spans="1:24" x14ac:dyDescent="0.8">
      <c r="H13" s="2" t="s">
        <v>13</v>
      </c>
      <c r="I13" s="15">
        <v>9.5000000000000001E-2</v>
      </c>
      <c r="T13" s="2" t="s">
        <v>684</v>
      </c>
      <c r="U13" s="14">
        <v>43459</v>
      </c>
    </row>
    <row r="14" spans="1:24" x14ac:dyDescent="0.8">
      <c r="T14" s="2" t="s">
        <v>685</v>
      </c>
      <c r="U14" s="14">
        <v>43460</v>
      </c>
    </row>
    <row r="15" spans="1:24" x14ac:dyDescent="0.8">
      <c r="T15" s="20"/>
      <c r="U15" s="19"/>
    </row>
  </sheetData>
  <mergeCells count="8">
    <mergeCell ref="W2:X2"/>
    <mergeCell ref="A2:C2"/>
    <mergeCell ref="E2:F2"/>
    <mergeCell ref="H2:I2"/>
    <mergeCell ref="K2:L2"/>
    <mergeCell ref="N2:O2"/>
    <mergeCell ref="Q2:R2"/>
    <mergeCell ref="T2:U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30"/>
  <sheetViews>
    <sheetView topLeftCell="C1" zoomScale="70" zoomScaleNormal="70" workbookViewId="0">
      <pane ySplit="2" topLeftCell="A3" activePane="bottomLeft" state="frozen"/>
      <selection pane="bottomLeft" activeCell="H8" sqref="H8"/>
    </sheetView>
  </sheetViews>
  <sheetFormatPr defaultColWidth="10.7890625" defaultRowHeight="16" x14ac:dyDescent="0.8"/>
  <cols>
    <col min="4" max="4" width="21.5390625" bestFit="1" customWidth="1"/>
    <col min="5" max="5" width="9.45703125" bestFit="1" customWidth="1"/>
    <col min="7" max="7" width="14.75" style="25" bestFit="1" customWidth="1"/>
    <col min="8" max="8" width="24.08203125" style="25" bestFit="1" customWidth="1"/>
    <col min="9" max="9" width="24.375" style="25" bestFit="1" customWidth="1"/>
    <col min="10" max="10" width="11.45703125" style="25" bestFit="1" customWidth="1"/>
    <col min="11" max="11" width="14.5" style="25" bestFit="1" customWidth="1"/>
    <col min="12" max="12" width="11.0390625" style="25" customWidth="1"/>
  </cols>
  <sheetData>
    <row r="1" spans="1:12" x14ac:dyDescent="0.8">
      <c r="A1" s="55" t="s">
        <v>78</v>
      </c>
      <c r="B1" s="55"/>
      <c r="C1" s="55"/>
      <c r="D1" s="55"/>
      <c r="E1" s="55"/>
      <c r="F1" s="55"/>
      <c r="G1" s="55"/>
      <c r="H1" s="55"/>
      <c r="I1" s="55"/>
      <c r="J1" s="55"/>
      <c r="K1" s="55"/>
      <c r="L1" s="55"/>
    </row>
    <row r="2" spans="1:12" x14ac:dyDescent="0.8">
      <c r="A2" s="1" t="s">
        <v>0</v>
      </c>
      <c r="B2" s="1" t="s">
        <v>1</v>
      </c>
      <c r="C2" s="1" t="s">
        <v>2</v>
      </c>
      <c r="D2" s="1" t="s">
        <v>3</v>
      </c>
      <c r="E2" s="1" t="s">
        <v>4</v>
      </c>
      <c r="F2" s="1" t="s">
        <v>5</v>
      </c>
      <c r="G2" s="21" t="s">
        <v>6</v>
      </c>
      <c r="H2" s="21" t="s">
        <v>73</v>
      </c>
      <c r="I2" s="21" t="s">
        <v>74</v>
      </c>
      <c r="J2" s="21" t="s">
        <v>75</v>
      </c>
      <c r="K2" s="21" t="s">
        <v>76</v>
      </c>
      <c r="L2" s="21" t="s">
        <v>77</v>
      </c>
    </row>
    <row r="3" spans="1:12" x14ac:dyDescent="0.8">
      <c r="A3" s="2" t="s">
        <v>7</v>
      </c>
      <c r="B3" s="2" t="s">
        <v>8</v>
      </c>
      <c r="C3" s="2" t="s">
        <v>9</v>
      </c>
      <c r="D3" s="2" t="s">
        <v>694</v>
      </c>
      <c r="E3" s="2"/>
      <c r="F3" s="3">
        <v>23303</v>
      </c>
      <c r="G3" s="9">
        <v>0</v>
      </c>
      <c r="H3" s="33">
        <f t="shared" ref="H3:H30" si="0">G3*
IF(D3&lt;&gt;"Volunteer Carer",
VLOOKUP(D3,EmployerSuper,2,FALSE),0)</f>
        <v>0</v>
      </c>
      <c r="I3" s="9">
        <f t="shared" ref="I3:I30" si="1">IF(AND(D3&lt;&gt;"Volunteer Carer",YEARFRAC(DATE(2017,12,31),F3)&gt;=25),
VLOOKUP(YEARFRAC(DATE(2017,12,31),F3),EmployeeSuper,2,TRUE)*(G3-J3),0)</f>
        <v>0</v>
      </c>
      <c r="J3" s="9">
        <f t="shared" ref="J3:J30" si="2">VLOOKUP(G3,FixedTax,2,TRUE)
+((G3-VLOOKUP(G3,IncomeThreshold,1,TRUE)) * VLOOKUP(G3,TaxPercentage,3,TRUE))</f>
        <v>0</v>
      </c>
      <c r="K3" s="9">
        <f t="shared" ref="K3:K30" si="3">IF(AND(G3&gt;55874,E3=TRUE),
VLOOKUP(G3,HELP,2,TRUE),
0) *G3</f>
        <v>0</v>
      </c>
      <c r="L3" s="9">
        <f>(G3+H3)-(I3+J3)</f>
        <v>0</v>
      </c>
    </row>
    <row r="4" spans="1:12" x14ac:dyDescent="0.8">
      <c r="A4" s="2" t="s">
        <v>10</v>
      </c>
      <c r="B4" s="2" t="s">
        <v>11</v>
      </c>
      <c r="C4" s="2" t="s">
        <v>12</v>
      </c>
      <c r="D4" s="2" t="s">
        <v>13</v>
      </c>
      <c r="E4" s="2"/>
      <c r="F4" s="3">
        <v>23422</v>
      </c>
      <c r="G4" s="9">
        <v>35423</v>
      </c>
      <c r="H4" s="33">
        <f t="shared" si="0"/>
        <v>3365.1849999999999</v>
      </c>
      <c r="I4" s="9">
        <f t="shared" si="1"/>
        <v>1607.5315000000001</v>
      </c>
      <c r="J4" s="9">
        <f t="shared" si="2"/>
        <v>3272.37</v>
      </c>
      <c r="K4" s="9">
        <f t="shared" si="3"/>
        <v>0</v>
      </c>
      <c r="L4" s="9">
        <f t="shared" ref="L4:L30" si="4">(G4+H4)-(I4+J4)</f>
        <v>33908.283499999998</v>
      </c>
    </row>
    <row r="5" spans="1:12" x14ac:dyDescent="0.8">
      <c r="A5" s="2" t="s">
        <v>14</v>
      </c>
      <c r="B5" s="2" t="s">
        <v>15</v>
      </c>
      <c r="C5" s="2" t="s">
        <v>9</v>
      </c>
      <c r="D5" s="2" t="s">
        <v>694</v>
      </c>
      <c r="E5" s="2"/>
      <c r="F5" s="3">
        <v>26560</v>
      </c>
      <c r="G5" s="9">
        <v>0</v>
      </c>
      <c r="H5" s="33">
        <f t="shared" si="0"/>
        <v>0</v>
      </c>
      <c r="I5" s="9">
        <f t="shared" si="1"/>
        <v>0</v>
      </c>
      <c r="J5" s="9">
        <f t="shared" si="2"/>
        <v>0</v>
      </c>
      <c r="K5" s="9">
        <f t="shared" si="3"/>
        <v>0</v>
      </c>
      <c r="L5" s="9">
        <f t="shared" si="4"/>
        <v>0</v>
      </c>
    </row>
    <row r="6" spans="1:12" x14ac:dyDescent="0.8">
      <c r="A6" s="2" t="s">
        <v>16</v>
      </c>
      <c r="B6" s="2" t="s">
        <v>17</v>
      </c>
      <c r="C6" s="2" t="s">
        <v>12</v>
      </c>
      <c r="D6" s="2" t="s">
        <v>13</v>
      </c>
      <c r="E6" s="2"/>
      <c r="F6" s="3">
        <v>27695</v>
      </c>
      <c r="G6" s="9">
        <v>35423</v>
      </c>
      <c r="H6" s="33">
        <f t="shared" si="0"/>
        <v>3365.1849999999999</v>
      </c>
      <c r="I6" s="9">
        <f t="shared" si="1"/>
        <v>964.51890000000003</v>
      </c>
      <c r="J6" s="9">
        <f t="shared" si="2"/>
        <v>3272.37</v>
      </c>
      <c r="K6" s="9">
        <f t="shared" si="3"/>
        <v>0</v>
      </c>
      <c r="L6" s="9">
        <f t="shared" si="4"/>
        <v>34551.2961</v>
      </c>
    </row>
    <row r="7" spans="1:12" x14ac:dyDescent="0.8">
      <c r="A7" s="2" t="s">
        <v>18</v>
      </c>
      <c r="B7" s="2" t="s">
        <v>19</v>
      </c>
      <c r="C7" s="2" t="s">
        <v>9</v>
      </c>
      <c r="D7" s="2" t="s">
        <v>20</v>
      </c>
      <c r="E7" s="2" t="b">
        <v>1</v>
      </c>
      <c r="F7" s="3">
        <v>28843</v>
      </c>
      <c r="G7" s="9">
        <v>89534</v>
      </c>
      <c r="H7" s="33">
        <f t="shared" si="0"/>
        <v>11191.75</v>
      </c>
      <c r="I7" s="9">
        <f t="shared" si="1"/>
        <v>2063.2325999999998</v>
      </c>
      <c r="J7" s="9">
        <f t="shared" si="2"/>
        <v>20759.580000000002</v>
      </c>
      <c r="K7" s="9">
        <f t="shared" si="3"/>
        <v>6267.380000000001</v>
      </c>
      <c r="L7" s="9">
        <f t="shared" si="4"/>
        <v>77902.937399999995</v>
      </c>
    </row>
    <row r="8" spans="1:12" x14ac:dyDescent="0.8">
      <c r="A8" s="2" t="s">
        <v>21</v>
      </c>
      <c r="B8" s="2" t="s">
        <v>22</v>
      </c>
      <c r="C8" s="2" t="s">
        <v>9</v>
      </c>
      <c r="D8" s="2" t="s">
        <v>23</v>
      </c>
      <c r="E8" s="2"/>
      <c r="F8" s="3">
        <v>29039</v>
      </c>
      <c r="G8" s="9">
        <v>48310</v>
      </c>
      <c r="H8" s="33">
        <f t="shared" si="0"/>
        <v>4831</v>
      </c>
      <c r="I8" s="9">
        <f t="shared" si="1"/>
        <v>1231.8675000000001</v>
      </c>
      <c r="J8" s="9">
        <f t="shared" si="2"/>
        <v>7247.75</v>
      </c>
      <c r="K8" s="9">
        <f t="shared" si="3"/>
        <v>0</v>
      </c>
      <c r="L8" s="9">
        <f t="shared" si="4"/>
        <v>44661.3825</v>
      </c>
    </row>
    <row r="9" spans="1:12" x14ac:dyDescent="0.8">
      <c r="A9" s="2" t="s">
        <v>24</v>
      </c>
      <c r="B9" s="2" t="s">
        <v>25</v>
      </c>
      <c r="C9" s="2" t="s">
        <v>12</v>
      </c>
      <c r="D9" s="2" t="s">
        <v>23</v>
      </c>
      <c r="E9" s="2" t="b">
        <v>1</v>
      </c>
      <c r="F9" s="3">
        <v>29612</v>
      </c>
      <c r="G9" s="9">
        <v>56989</v>
      </c>
      <c r="H9" s="33">
        <f t="shared" si="0"/>
        <v>5698.9000000000005</v>
      </c>
      <c r="I9" s="9">
        <f t="shared" si="1"/>
        <v>1407.6172499999998</v>
      </c>
      <c r="J9" s="9">
        <f t="shared" si="2"/>
        <v>10068.424999999999</v>
      </c>
      <c r="K9" s="9">
        <f t="shared" si="3"/>
        <v>2279.56</v>
      </c>
      <c r="L9" s="9">
        <f t="shared" si="4"/>
        <v>51211.857750000003</v>
      </c>
    </row>
    <row r="10" spans="1:12" x14ac:dyDescent="0.8">
      <c r="A10" s="2" t="s">
        <v>26</v>
      </c>
      <c r="B10" s="2" t="s">
        <v>27</v>
      </c>
      <c r="C10" s="2" t="s">
        <v>9</v>
      </c>
      <c r="D10" s="2" t="s">
        <v>23</v>
      </c>
      <c r="E10" s="2"/>
      <c r="F10" s="3">
        <v>30078</v>
      </c>
      <c r="G10" s="9">
        <v>52487</v>
      </c>
      <c r="H10" s="33">
        <f t="shared" si="0"/>
        <v>5248.7000000000007</v>
      </c>
      <c r="I10" s="9">
        <f t="shared" si="1"/>
        <v>1316.4517499999999</v>
      </c>
      <c r="J10" s="9">
        <f t="shared" si="2"/>
        <v>8605.2750000000015</v>
      </c>
      <c r="K10" s="9">
        <f t="shared" si="3"/>
        <v>0</v>
      </c>
      <c r="L10" s="9">
        <f t="shared" si="4"/>
        <v>47813.973249999995</v>
      </c>
    </row>
    <row r="11" spans="1:12" x14ac:dyDescent="0.8">
      <c r="A11" s="2" t="s">
        <v>28</v>
      </c>
      <c r="B11" s="2" t="s">
        <v>29</v>
      </c>
      <c r="C11" s="2" t="s">
        <v>9</v>
      </c>
      <c r="D11" s="2" t="s">
        <v>23</v>
      </c>
      <c r="E11" s="2" t="b">
        <v>1</v>
      </c>
      <c r="F11" s="3">
        <v>30386</v>
      </c>
      <c r="G11" s="9">
        <v>48310</v>
      </c>
      <c r="H11" s="33">
        <f t="shared" si="0"/>
        <v>4831</v>
      </c>
      <c r="I11" s="9">
        <f t="shared" si="1"/>
        <v>1026.5562500000001</v>
      </c>
      <c r="J11" s="9">
        <f t="shared" si="2"/>
        <v>7247.75</v>
      </c>
      <c r="K11" s="9">
        <f t="shared" si="3"/>
        <v>0</v>
      </c>
      <c r="L11" s="9">
        <f t="shared" si="4"/>
        <v>44866.693749999999</v>
      </c>
    </row>
    <row r="12" spans="1:12" x14ac:dyDescent="0.8">
      <c r="A12" s="2" t="s">
        <v>30</v>
      </c>
      <c r="B12" s="2" t="s">
        <v>31</v>
      </c>
      <c r="C12" s="2" t="s">
        <v>9</v>
      </c>
      <c r="D12" s="2" t="s">
        <v>32</v>
      </c>
      <c r="E12" s="2" t="b">
        <v>1</v>
      </c>
      <c r="F12" s="3">
        <v>30545</v>
      </c>
      <c r="G12" s="9">
        <v>74879</v>
      </c>
      <c r="H12" s="33">
        <f t="shared" si="0"/>
        <v>8985.48</v>
      </c>
      <c r="I12" s="9">
        <f t="shared" si="1"/>
        <v>1474.9081249999999</v>
      </c>
      <c r="J12" s="9">
        <f t="shared" si="2"/>
        <v>15882.675000000001</v>
      </c>
      <c r="K12" s="9">
        <f t="shared" si="3"/>
        <v>4118.3450000000003</v>
      </c>
      <c r="L12" s="9">
        <f t="shared" si="4"/>
        <v>66506.896874999991</v>
      </c>
    </row>
    <row r="13" spans="1:12" x14ac:dyDescent="0.8">
      <c r="A13" s="2" t="s">
        <v>33</v>
      </c>
      <c r="B13" s="2" t="s">
        <v>34</v>
      </c>
      <c r="C13" s="2" t="s">
        <v>9</v>
      </c>
      <c r="D13" s="2" t="s">
        <v>35</v>
      </c>
      <c r="E13" s="2"/>
      <c r="F13" s="3">
        <v>31294</v>
      </c>
      <c r="G13" s="9">
        <v>40750</v>
      </c>
      <c r="H13" s="33">
        <f t="shared" si="0"/>
        <v>3871.25</v>
      </c>
      <c r="I13" s="9">
        <f t="shared" si="1"/>
        <v>898.98125000000005</v>
      </c>
      <c r="J13" s="9">
        <f t="shared" si="2"/>
        <v>4790.75</v>
      </c>
      <c r="K13" s="9">
        <f t="shared" si="3"/>
        <v>0</v>
      </c>
      <c r="L13" s="9">
        <f t="shared" si="4"/>
        <v>38931.518750000003</v>
      </c>
    </row>
    <row r="14" spans="1:12" x14ac:dyDescent="0.8">
      <c r="A14" s="2" t="s">
        <v>36</v>
      </c>
      <c r="B14" s="2" t="s">
        <v>37</v>
      </c>
      <c r="C14" s="2" t="s">
        <v>9</v>
      </c>
      <c r="D14" s="2" t="s">
        <v>694</v>
      </c>
      <c r="E14" s="2" t="b">
        <v>1</v>
      </c>
      <c r="F14" s="3">
        <v>32296</v>
      </c>
      <c r="G14" s="9">
        <v>0</v>
      </c>
      <c r="H14" s="33">
        <f t="shared" si="0"/>
        <v>0</v>
      </c>
      <c r="I14" s="9">
        <f t="shared" si="1"/>
        <v>0</v>
      </c>
      <c r="J14" s="9">
        <f t="shared" si="2"/>
        <v>0</v>
      </c>
      <c r="K14" s="9">
        <f t="shared" si="3"/>
        <v>0</v>
      </c>
      <c r="L14" s="9">
        <f t="shared" si="4"/>
        <v>0</v>
      </c>
    </row>
    <row r="15" spans="1:12" x14ac:dyDescent="0.8">
      <c r="A15" s="2" t="s">
        <v>38</v>
      </c>
      <c r="B15" s="2" t="s">
        <v>39</v>
      </c>
      <c r="C15" s="2" t="s">
        <v>9</v>
      </c>
      <c r="D15" s="2" t="s">
        <v>40</v>
      </c>
      <c r="E15" s="2" t="b">
        <v>1</v>
      </c>
      <c r="F15" s="3">
        <v>32405</v>
      </c>
      <c r="G15" s="9">
        <v>68423</v>
      </c>
      <c r="H15" s="33">
        <f t="shared" si="0"/>
        <v>7868.6450000000004</v>
      </c>
      <c r="I15" s="9">
        <f t="shared" si="1"/>
        <v>1365.9631250000002</v>
      </c>
      <c r="J15" s="9">
        <f t="shared" si="2"/>
        <v>13784.475</v>
      </c>
      <c r="K15" s="9">
        <f t="shared" si="3"/>
        <v>3079.0349999999999</v>
      </c>
      <c r="L15" s="9">
        <f t="shared" si="4"/>
        <v>61141.206875000003</v>
      </c>
    </row>
    <row r="16" spans="1:12" x14ac:dyDescent="0.8">
      <c r="A16" s="2" t="s">
        <v>41</v>
      </c>
      <c r="B16" s="2" t="s">
        <v>42</v>
      </c>
      <c r="C16" s="2" t="s">
        <v>12</v>
      </c>
      <c r="D16" s="2" t="s">
        <v>35</v>
      </c>
      <c r="E16" s="2"/>
      <c r="F16" s="3">
        <v>32481</v>
      </c>
      <c r="G16" s="9">
        <v>40750</v>
      </c>
      <c r="H16" s="33">
        <f t="shared" si="0"/>
        <v>3871.25</v>
      </c>
      <c r="I16" s="9">
        <f t="shared" si="1"/>
        <v>898.98125000000005</v>
      </c>
      <c r="J16" s="9">
        <f t="shared" si="2"/>
        <v>4790.75</v>
      </c>
      <c r="K16" s="9">
        <f t="shared" si="3"/>
        <v>0</v>
      </c>
      <c r="L16" s="9">
        <f t="shared" si="4"/>
        <v>38931.518750000003</v>
      </c>
    </row>
    <row r="17" spans="1:12" x14ac:dyDescent="0.8">
      <c r="A17" s="2" t="s">
        <v>43</v>
      </c>
      <c r="B17" s="2" t="s">
        <v>44</v>
      </c>
      <c r="C17" s="2" t="s">
        <v>9</v>
      </c>
      <c r="D17" s="2" t="s">
        <v>23</v>
      </c>
      <c r="E17" s="2" t="b">
        <v>1</v>
      </c>
      <c r="F17" s="3">
        <v>32561</v>
      </c>
      <c r="G17" s="9">
        <v>56989</v>
      </c>
      <c r="H17" s="33">
        <f t="shared" si="0"/>
        <v>5698.9000000000005</v>
      </c>
      <c r="I17" s="9">
        <f t="shared" si="1"/>
        <v>1173.014375</v>
      </c>
      <c r="J17" s="9">
        <f t="shared" si="2"/>
        <v>10068.424999999999</v>
      </c>
      <c r="K17" s="9">
        <f t="shared" si="3"/>
        <v>2279.56</v>
      </c>
      <c r="L17" s="9">
        <f t="shared" si="4"/>
        <v>51446.460625</v>
      </c>
    </row>
    <row r="18" spans="1:12" x14ac:dyDescent="0.8">
      <c r="A18" s="2" t="s">
        <v>16</v>
      </c>
      <c r="B18" s="2" t="s">
        <v>45</v>
      </c>
      <c r="C18" s="2" t="s">
        <v>12</v>
      </c>
      <c r="D18" s="2" t="s">
        <v>46</v>
      </c>
      <c r="E18" s="2" t="b">
        <v>1</v>
      </c>
      <c r="F18" s="3">
        <v>33064</v>
      </c>
      <c r="G18" s="9">
        <v>54326</v>
      </c>
      <c r="H18" s="33">
        <f t="shared" si="0"/>
        <v>5432.6</v>
      </c>
      <c r="I18" s="9">
        <f t="shared" si="1"/>
        <v>1128.0762500000001</v>
      </c>
      <c r="J18" s="9">
        <f t="shared" si="2"/>
        <v>9202.9500000000007</v>
      </c>
      <c r="K18" s="9">
        <f t="shared" si="3"/>
        <v>0</v>
      </c>
      <c r="L18" s="9">
        <f t="shared" si="4"/>
        <v>49427.573749999996</v>
      </c>
    </row>
    <row r="19" spans="1:12" x14ac:dyDescent="0.8">
      <c r="A19" s="2" t="s">
        <v>47</v>
      </c>
      <c r="B19" s="2" t="s">
        <v>48</v>
      </c>
      <c r="C19" s="2" t="s">
        <v>9</v>
      </c>
      <c r="D19" s="2" t="s">
        <v>46</v>
      </c>
      <c r="E19" s="2" t="b">
        <v>1</v>
      </c>
      <c r="F19" s="3">
        <v>33423</v>
      </c>
      <c r="G19" s="9">
        <v>54326</v>
      </c>
      <c r="H19" s="33">
        <f t="shared" si="0"/>
        <v>5432.6</v>
      </c>
      <c r="I19" s="9">
        <f t="shared" si="1"/>
        <v>1128.0762500000001</v>
      </c>
      <c r="J19" s="9">
        <f t="shared" si="2"/>
        <v>9202.9500000000007</v>
      </c>
      <c r="K19" s="9">
        <f t="shared" si="3"/>
        <v>0</v>
      </c>
      <c r="L19" s="9">
        <f t="shared" si="4"/>
        <v>49427.573749999996</v>
      </c>
    </row>
    <row r="20" spans="1:12" x14ac:dyDescent="0.8">
      <c r="A20" s="2" t="s">
        <v>49</v>
      </c>
      <c r="B20" s="2" t="s">
        <v>50</v>
      </c>
      <c r="C20" s="2" t="s">
        <v>12</v>
      </c>
      <c r="D20" s="2" t="s">
        <v>35</v>
      </c>
      <c r="E20" s="2" t="b">
        <v>1</v>
      </c>
      <c r="F20" s="3">
        <v>33847</v>
      </c>
      <c r="G20" s="9">
        <v>40750</v>
      </c>
      <c r="H20" s="33">
        <f t="shared" si="0"/>
        <v>3871.25</v>
      </c>
      <c r="I20" s="9">
        <f t="shared" si="1"/>
        <v>898.98125000000005</v>
      </c>
      <c r="J20" s="9">
        <f t="shared" si="2"/>
        <v>4790.75</v>
      </c>
      <c r="K20" s="9">
        <f t="shared" si="3"/>
        <v>0</v>
      </c>
      <c r="L20" s="9">
        <f t="shared" si="4"/>
        <v>38931.518750000003</v>
      </c>
    </row>
    <row r="21" spans="1:12" x14ac:dyDescent="0.8">
      <c r="A21" s="2" t="s">
        <v>51</v>
      </c>
      <c r="B21" s="2" t="s">
        <v>52</v>
      </c>
      <c r="C21" s="2" t="s">
        <v>9</v>
      </c>
      <c r="D21" s="2" t="s">
        <v>53</v>
      </c>
      <c r="E21" s="2" t="b">
        <v>1</v>
      </c>
      <c r="F21" s="3">
        <v>33906</v>
      </c>
      <c r="G21" s="9">
        <v>43448</v>
      </c>
      <c r="H21" s="33">
        <f t="shared" si="0"/>
        <v>4127.5600000000004</v>
      </c>
      <c r="I21" s="9">
        <f t="shared" si="1"/>
        <v>944.5100000000001</v>
      </c>
      <c r="J21" s="9">
        <f t="shared" si="2"/>
        <v>5667.6</v>
      </c>
      <c r="K21" s="9">
        <f t="shared" si="3"/>
        <v>0</v>
      </c>
      <c r="L21" s="9">
        <f t="shared" si="4"/>
        <v>40963.449999999997</v>
      </c>
    </row>
    <row r="22" spans="1:12" x14ac:dyDescent="0.8">
      <c r="A22" s="2" t="s">
        <v>54</v>
      </c>
      <c r="B22" s="2" t="s">
        <v>55</v>
      </c>
      <c r="C22" s="2" t="s">
        <v>12</v>
      </c>
      <c r="D22" s="2" t="s">
        <v>53</v>
      </c>
      <c r="E22" s="2" t="b">
        <v>1</v>
      </c>
      <c r="F22" s="3">
        <v>34021</v>
      </c>
      <c r="G22" s="9">
        <v>43448</v>
      </c>
      <c r="H22" s="33">
        <f t="shared" si="0"/>
        <v>4127.5600000000004</v>
      </c>
      <c r="I22" s="9">
        <f t="shared" si="1"/>
        <v>0</v>
      </c>
      <c r="J22" s="9">
        <f t="shared" si="2"/>
        <v>5667.6</v>
      </c>
      <c r="K22" s="9">
        <f t="shared" si="3"/>
        <v>0</v>
      </c>
      <c r="L22" s="9">
        <f t="shared" si="4"/>
        <v>41907.96</v>
      </c>
    </row>
    <row r="23" spans="1:12" x14ac:dyDescent="0.8">
      <c r="A23" s="2" t="s">
        <v>56</v>
      </c>
      <c r="B23" s="2" t="s">
        <v>57</v>
      </c>
      <c r="C23" s="2" t="s">
        <v>9</v>
      </c>
      <c r="D23" s="2" t="s">
        <v>58</v>
      </c>
      <c r="E23" s="2"/>
      <c r="F23" s="3">
        <v>34243</v>
      </c>
      <c r="G23" s="9">
        <v>35862</v>
      </c>
      <c r="H23" s="33">
        <f t="shared" si="0"/>
        <v>3406.89</v>
      </c>
      <c r="I23" s="9">
        <f t="shared" si="1"/>
        <v>0</v>
      </c>
      <c r="J23" s="9">
        <f t="shared" si="2"/>
        <v>3355.78</v>
      </c>
      <c r="K23" s="9">
        <f t="shared" si="3"/>
        <v>0</v>
      </c>
      <c r="L23" s="9">
        <f t="shared" si="4"/>
        <v>35913.11</v>
      </c>
    </row>
    <row r="24" spans="1:12" x14ac:dyDescent="0.8">
      <c r="A24" s="2" t="s">
        <v>59</v>
      </c>
      <c r="B24" s="2" t="s">
        <v>60</v>
      </c>
      <c r="C24" s="2" t="s">
        <v>12</v>
      </c>
      <c r="D24" s="2" t="s">
        <v>35</v>
      </c>
      <c r="E24" s="2"/>
      <c r="F24" s="3">
        <v>34608</v>
      </c>
      <c r="G24" s="9">
        <v>45876</v>
      </c>
      <c r="H24" s="33">
        <f t="shared" si="0"/>
        <v>4358.22</v>
      </c>
      <c r="I24" s="9">
        <f t="shared" si="1"/>
        <v>0</v>
      </c>
      <c r="J24" s="9">
        <f t="shared" si="2"/>
        <v>6456.7000000000007</v>
      </c>
      <c r="K24" s="9">
        <f t="shared" si="3"/>
        <v>0</v>
      </c>
      <c r="L24" s="9">
        <f t="shared" si="4"/>
        <v>43777.520000000004</v>
      </c>
    </row>
    <row r="25" spans="1:12" x14ac:dyDescent="0.8">
      <c r="A25" s="2" t="s">
        <v>61</v>
      </c>
      <c r="B25" s="2" t="s">
        <v>62</v>
      </c>
      <c r="C25" s="2" t="s">
        <v>12</v>
      </c>
      <c r="D25" s="2" t="s">
        <v>63</v>
      </c>
      <c r="E25" s="2" t="b">
        <v>1</v>
      </c>
      <c r="F25" s="3">
        <v>34806</v>
      </c>
      <c r="G25" s="9">
        <v>55232</v>
      </c>
      <c r="H25" s="33">
        <f t="shared" si="0"/>
        <v>6075.52</v>
      </c>
      <c r="I25" s="9">
        <f t="shared" si="1"/>
        <v>0</v>
      </c>
      <c r="J25" s="9">
        <f t="shared" si="2"/>
        <v>9497.4000000000015</v>
      </c>
      <c r="K25" s="9">
        <f t="shared" si="3"/>
        <v>0</v>
      </c>
      <c r="L25" s="9">
        <f t="shared" si="4"/>
        <v>51810.12</v>
      </c>
    </row>
    <row r="26" spans="1:12" x14ac:dyDescent="0.8">
      <c r="A26" s="2" t="s">
        <v>64</v>
      </c>
      <c r="B26" s="2" t="s">
        <v>65</v>
      </c>
      <c r="C26" s="2" t="s">
        <v>12</v>
      </c>
      <c r="D26" s="2" t="s">
        <v>694</v>
      </c>
      <c r="E26" s="2" t="b">
        <v>1</v>
      </c>
      <c r="F26" s="3">
        <v>35031</v>
      </c>
      <c r="G26" s="9">
        <v>0</v>
      </c>
      <c r="H26" s="33">
        <f t="shared" si="0"/>
        <v>0</v>
      </c>
      <c r="I26" s="9">
        <f t="shared" si="1"/>
        <v>0</v>
      </c>
      <c r="J26" s="9">
        <f t="shared" si="2"/>
        <v>0</v>
      </c>
      <c r="K26" s="9">
        <f t="shared" si="3"/>
        <v>0</v>
      </c>
      <c r="L26" s="9">
        <f t="shared" si="4"/>
        <v>0</v>
      </c>
    </row>
    <row r="27" spans="1:12" x14ac:dyDescent="0.8">
      <c r="A27" s="2" t="s">
        <v>66</v>
      </c>
      <c r="B27" s="2" t="s">
        <v>67</v>
      </c>
      <c r="C27" s="2" t="s">
        <v>9</v>
      </c>
      <c r="D27" s="2" t="s">
        <v>58</v>
      </c>
      <c r="E27" s="2"/>
      <c r="F27" s="3">
        <v>35105</v>
      </c>
      <c r="G27" s="9">
        <v>35862</v>
      </c>
      <c r="H27" s="33">
        <f t="shared" si="0"/>
        <v>3406.89</v>
      </c>
      <c r="I27" s="9">
        <f t="shared" si="1"/>
        <v>0</v>
      </c>
      <c r="J27" s="9">
        <f t="shared" si="2"/>
        <v>3355.78</v>
      </c>
      <c r="K27" s="9">
        <f t="shared" si="3"/>
        <v>0</v>
      </c>
      <c r="L27" s="9">
        <f t="shared" si="4"/>
        <v>35913.11</v>
      </c>
    </row>
    <row r="28" spans="1:12" x14ac:dyDescent="0.8">
      <c r="A28" s="2" t="s">
        <v>68</v>
      </c>
      <c r="B28" s="2" t="s">
        <v>69</v>
      </c>
      <c r="C28" s="2" t="s">
        <v>9</v>
      </c>
      <c r="D28" s="2" t="s">
        <v>694</v>
      </c>
      <c r="E28" s="2" t="b">
        <v>1</v>
      </c>
      <c r="F28" s="3">
        <v>35745</v>
      </c>
      <c r="G28" s="9">
        <v>0</v>
      </c>
      <c r="H28" s="33">
        <f t="shared" si="0"/>
        <v>0</v>
      </c>
      <c r="I28" s="9">
        <f t="shared" si="1"/>
        <v>0</v>
      </c>
      <c r="J28" s="9">
        <f t="shared" si="2"/>
        <v>0</v>
      </c>
      <c r="K28" s="9">
        <f t="shared" si="3"/>
        <v>0</v>
      </c>
      <c r="L28" s="9">
        <f t="shared" si="4"/>
        <v>0</v>
      </c>
    </row>
    <row r="29" spans="1:12" x14ac:dyDescent="0.8">
      <c r="A29" s="2" t="s">
        <v>36</v>
      </c>
      <c r="B29" s="2" t="s">
        <v>70</v>
      </c>
      <c r="C29" s="2" t="s">
        <v>9</v>
      </c>
      <c r="D29" s="2" t="s">
        <v>58</v>
      </c>
      <c r="E29" s="2" t="b">
        <v>1</v>
      </c>
      <c r="F29" s="3">
        <v>35838</v>
      </c>
      <c r="G29" s="9">
        <v>35862</v>
      </c>
      <c r="H29" s="33">
        <f t="shared" si="0"/>
        <v>3406.89</v>
      </c>
      <c r="I29" s="9">
        <f t="shared" si="1"/>
        <v>0</v>
      </c>
      <c r="J29" s="9">
        <f t="shared" si="2"/>
        <v>3355.78</v>
      </c>
      <c r="K29" s="9">
        <f t="shared" si="3"/>
        <v>0</v>
      </c>
      <c r="L29" s="9">
        <f t="shared" si="4"/>
        <v>35913.11</v>
      </c>
    </row>
    <row r="30" spans="1:12" x14ac:dyDescent="0.8">
      <c r="A30" s="2" t="s">
        <v>71</v>
      </c>
      <c r="B30" s="2" t="s">
        <v>72</v>
      </c>
      <c r="C30" s="2" t="s">
        <v>12</v>
      </c>
      <c r="D30" s="2" t="s">
        <v>58</v>
      </c>
      <c r="E30" s="2" t="b">
        <v>1</v>
      </c>
      <c r="F30" s="3">
        <v>36257</v>
      </c>
      <c r="G30" s="9">
        <v>35862</v>
      </c>
      <c r="H30" s="33">
        <f t="shared" si="0"/>
        <v>3406.89</v>
      </c>
      <c r="I30" s="9">
        <f t="shared" si="1"/>
        <v>0</v>
      </c>
      <c r="J30" s="9">
        <f t="shared" si="2"/>
        <v>3355.78</v>
      </c>
      <c r="K30" s="9">
        <f t="shared" si="3"/>
        <v>0</v>
      </c>
      <c r="L30" s="9">
        <f t="shared" si="4"/>
        <v>35913.11</v>
      </c>
    </row>
  </sheetData>
  <mergeCells count="1">
    <mergeCell ref="A1:L1"/>
  </mergeCells>
  <conditionalFormatting sqref="A3:L30">
    <cfRule type="expression" dxfId="1" priority="1">
      <formula>$D3="Volunteer Carer"</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Q129"/>
  <sheetViews>
    <sheetView topLeftCell="H6" zoomScale="55" zoomScaleNormal="55" workbookViewId="0">
      <selection activeCell="N9" sqref="N9"/>
    </sheetView>
  </sheetViews>
  <sheetFormatPr defaultColWidth="10.7890625" defaultRowHeight="16" x14ac:dyDescent="0.8"/>
  <cols>
    <col min="6" max="6" width="10.7890625" style="28"/>
    <col min="7" max="7" width="22.33203125" bestFit="1" customWidth="1"/>
    <col min="9" max="10" width="13.625" bestFit="1" customWidth="1"/>
    <col min="11" max="11" width="14.375" bestFit="1" customWidth="1"/>
    <col min="12" max="12" width="14.0390625" bestFit="1" customWidth="1"/>
    <col min="13" max="13" width="23.83203125" style="25" bestFit="1" customWidth="1"/>
    <col min="14" max="14" width="24.7890625" style="25" bestFit="1" customWidth="1"/>
    <col min="15" max="15" width="24.75" bestFit="1" customWidth="1"/>
    <col min="16" max="16" width="24.375" bestFit="1" customWidth="1"/>
    <col min="17" max="17" width="13.83203125" bestFit="1" customWidth="1"/>
  </cols>
  <sheetData>
    <row r="1" spans="1:17" x14ac:dyDescent="0.8">
      <c r="A1" s="55" t="s">
        <v>620</v>
      </c>
      <c r="B1" s="55"/>
      <c r="C1" s="55"/>
      <c r="D1" s="55"/>
      <c r="E1" s="55"/>
      <c r="F1" s="55"/>
      <c r="G1" s="55"/>
      <c r="H1" s="55"/>
      <c r="I1" s="55"/>
      <c r="J1" s="55"/>
      <c r="K1" s="55"/>
      <c r="L1" s="55"/>
      <c r="M1" s="55"/>
      <c r="N1" s="55"/>
      <c r="O1" s="55"/>
      <c r="P1" s="55"/>
      <c r="Q1" s="55"/>
    </row>
    <row r="2" spans="1:17" x14ac:dyDescent="0.8">
      <c r="A2" s="1" t="s">
        <v>356</v>
      </c>
      <c r="B2" s="1" t="s">
        <v>79</v>
      </c>
      <c r="C2" s="1" t="s">
        <v>357</v>
      </c>
      <c r="D2" s="1" t="s">
        <v>80</v>
      </c>
      <c r="E2" s="1" t="s">
        <v>2</v>
      </c>
      <c r="F2" s="26" t="s">
        <v>5</v>
      </c>
      <c r="G2" s="1" t="s">
        <v>358</v>
      </c>
      <c r="H2" s="1" t="s">
        <v>611</v>
      </c>
      <c r="I2" s="1" t="s">
        <v>612</v>
      </c>
      <c r="J2" s="1" t="s">
        <v>613</v>
      </c>
      <c r="K2" s="1" t="s">
        <v>614</v>
      </c>
      <c r="L2" s="1" t="s">
        <v>615</v>
      </c>
      <c r="M2" s="21" t="s">
        <v>616</v>
      </c>
      <c r="N2" s="21" t="s">
        <v>617</v>
      </c>
      <c r="O2" s="1" t="s">
        <v>618</v>
      </c>
      <c r="P2" s="1" t="s">
        <v>619</v>
      </c>
      <c r="Q2" s="1" t="s">
        <v>351</v>
      </c>
    </row>
    <row r="3" spans="1:17" x14ac:dyDescent="0.8">
      <c r="A3" s="6"/>
      <c r="B3" s="6"/>
      <c r="C3" s="6"/>
      <c r="D3" s="6"/>
      <c r="E3" s="6"/>
      <c r="F3" s="27"/>
      <c r="G3" s="6"/>
      <c r="H3" s="6"/>
      <c r="I3" s="6"/>
      <c r="J3" s="6"/>
      <c r="K3" s="6" t="s">
        <v>786</v>
      </c>
      <c r="L3" s="6"/>
      <c r="M3" s="22"/>
      <c r="N3" s="22"/>
      <c r="O3" s="6"/>
      <c r="P3" s="6"/>
      <c r="Q3" s="6"/>
    </row>
    <row r="4" spans="1:17" x14ac:dyDescent="0.8">
      <c r="A4" s="6"/>
      <c r="B4" s="6"/>
      <c r="C4" s="6"/>
      <c r="D4" s="6"/>
      <c r="E4" s="6"/>
      <c r="F4" s="27"/>
      <c r="G4" s="6"/>
      <c r="H4" s="6"/>
      <c r="I4" s="6"/>
      <c r="J4" s="6"/>
      <c r="K4" s="6"/>
      <c r="L4" s="6"/>
      <c r="M4" s="22"/>
      <c r="N4" s="22"/>
      <c r="O4" s="6"/>
      <c r="P4" s="6"/>
      <c r="Q4" s="6"/>
    </row>
    <row r="5" spans="1:17" x14ac:dyDescent="0.8">
      <c r="A5" s="6"/>
      <c r="B5" s="6"/>
      <c r="C5" s="6"/>
      <c r="D5" s="6"/>
      <c r="E5" s="6"/>
      <c r="F5" s="27"/>
      <c r="G5" s="6"/>
      <c r="H5" s="6"/>
      <c r="I5" s="6"/>
      <c r="J5" s="6"/>
      <c r="K5" s="6"/>
      <c r="L5" s="6"/>
      <c r="M5" s="22"/>
      <c r="N5" s="22"/>
      <c r="O5" s="6"/>
      <c r="P5" s="6"/>
      <c r="Q5" s="6"/>
    </row>
    <row r="6" spans="1:17" x14ac:dyDescent="0.8">
      <c r="A6" s="6"/>
      <c r="B6" s="6"/>
      <c r="C6" s="6"/>
      <c r="D6" s="6"/>
      <c r="E6" s="6"/>
      <c r="F6" s="27"/>
      <c r="G6" s="6"/>
      <c r="H6" s="6"/>
      <c r="I6" s="6"/>
      <c r="J6" s="6"/>
      <c r="K6" s="6"/>
      <c r="L6" s="6"/>
      <c r="M6" s="23" t="s">
        <v>616</v>
      </c>
      <c r="N6" s="23" t="s">
        <v>617</v>
      </c>
      <c r="O6" s="7" t="s">
        <v>618</v>
      </c>
      <c r="P6" s="7" t="s">
        <v>619</v>
      </c>
      <c r="Q6" s="7" t="s">
        <v>351</v>
      </c>
    </row>
    <row r="7" spans="1:17" x14ac:dyDescent="0.8">
      <c r="A7" s="6"/>
      <c r="B7" s="6"/>
      <c r="C7" s="6"/>
      <c r="D7" s="6"/>
      <c r="E7" s="6"/>
      <c r="F7" s="27"/>
      <c r="G7" s="6"/>
      <c r="H7" s="6"/>
      <c r="I7" s="6"/>
      <c r="J7" s="6"/>
      <c r="K7" s="6"/>
      <c r="L7" s="5" t="s">
        <v>690</v>
      </c>
      <c r="M7" s="24">
        <f>DSUM(_xlnm.Database,M12,_xlnm.Criteria)</f>
        <v>308280</v>
      </c>
      <c r="N7" s="24">
        <f>DSUM(_xlnm.Database,N12,_xlnm.Criteria)</f>
        <v>79505</v>
      </c>
      <c r="O7" s="24">
        <f>DSUM(_xlnm.Database,O12,_xlnm.Criteria)</f>
        <v>252760</v>
      </c>
      <c r="P7" s="24">
        <f>DSUM(_xlnm.Database,P12,_xlnm.Criteria)</f>
        <v>66120</v>
      </c>
      <c r="Q7" s="24">
        <f>DSUM(_xlnm.Database,Q12,_xlnm.Criteria)</f>
        <v>706665</v>
      </c>
    </row>
    <row r="8" spans="1:17" x14ac:dyDescent="0.8">
      <c r="A8" s="6"/>
      <c r="B8" s="6"/>
      <c r="C8" s="6"/>
      <c r="D8" s="6"/>
      <c r="E8" s="6"/>
      <c r="F8" s="27"/>
      <c r="G8" s="6"/>
      <c r="H8" s="6"/>
      <c r="I8" s="6"/>
      <c r="J8" s="6"/>
      <c r="K8" s="6"/>
      <c r="L8" s="5" t="s">
        <v>691</v>
      </c>
      <c r="M8" s="24">
        <f>DMIN(_xlnm.Database,M12,_xlnm.Criteria)</f>
        <v>1955</v>
      </c>
      <c r="N8" s="24">
        <f>DMIN(_xlnm.Database,N12,_xlnm.Criteria)</f>
        <v>0</v>
      </c>
      <c r="O8" s="24">
        <f>DMIN(_xlnm.Database,O12,_xlnm.Criteria)</f>
        <v>0</v>
      </c>
      <c r="P8" s="24">
        <f>DMIN(_xlnm.Database,P12,_xlnm.Criteria)</f>
        <v>0</v>
      </c>
      <c r="Q8" s="24">
        <f>DMIN(_xlnm.Database,Q12,_xlnm.Criteria)</f>
        <v>18450</v>
      </c>
    </row>
    <row r="9" spans="1:17" x14ac:dyDescent="0.8">
      <c r="A9" s="6"/>
      <c r="B9" s="6"/>
      <c r="C9" s="6"/>
      <c r="D9" s="6"/>
      <c r="E9" s="6"/>
      <c r="F9" s="27"/>
      <c r="G9" s="6"/>
      <c r="H9" s="6"/>
      <c r="I9" s="6"/>
      <c r="J9" s="6"/>
      <c r="K9" s="6"/>
      <c r="L9" s="5" t="s">
        <v>692</v>
      </c>
      <c r="M9" s="24">
        <f>DAVERAGE(_xlnm.Database,M12,_xlnm.Criteria)</f>
        <v>11010</v>
      </c>
      <c r="N9" s="24">
        <f>DAVERAGE(_xlnm.Database,N12,_xlnm.Criteria)</f>
        <v>2839.4642857142858</v>
      </c>
      <c r="O9" s="24">
        <f>DAVERAGE(_xlnm.Database,O12,_xlnm.Criteria)</f>
        <v>9027.1428571428569</v>
      </c>
      <c r="P9" s="24">
        <f>DAVERAGE(_xlnm.Database,P12,_xlnm.Criteria)</f>
        <v>2361.4285714285716</v>
      </c>
      <c r="Q9" s="24">
        <f>DAVERAGE(_xlnm.Database,Q12,_xlnm.Criteria)</f>
        <v>25238.035714285714</v>
      </c>
    </row>
    <row r="10" spans="1:17" x14ac:dyDescent="0.8">
      <c r="A10" s="6"/>
      <c r="B10" s="6"/>
      <c r="C10" s="6"/>
      <c r="D10" s="6"/>
      <c r="E10" s="6"/>
      <c r="F10" s="27"/>
      <c r="G10" s="6"/>
      <c r="H10" s="6"/>
      <c r="I10" s="6"/>
      <c r="J10" s="6"/>
      <c r="K10" s="6"/>
      <c r="L10" s="5" t="s">
        <v>693</v>
      </c>
      <c r="M10" s="24">
        <f>DMAX(_xlnm.Database,M12,_xlnm.Criteria)</f>
        <v>21360</v>
      </c>
      <c r="N10" s="24">
        <f>DMAX(_xlnm.Database,N12,_xlnm.Criteria)</f>
        <v>5850</v>
      </c>
      <c r="O10" s="24">
        <f>DMAX(_xlnm.Database,O12,_xlnm.Criteria)</f>
        <v>23430</v>
      </c>
      <c r="P10" s="24">
        <f>DMAX(_xlnm.Database,P12,_xlnm.Criteria)</f>
        <v>5290</v>
      </c>
      <c r="Q10" s="24">
        <f>DMAX(_xlnm.Database,Q12,_xlnm.Criteria)</f>
        <v>38390</v>
      </c>
    </row>
    <row r="11" spans="1:17" x14ac:dyDescent="0.8">
      <c r="A11" s="6"/>
      <c r="B11" s="6"/>
      <c r="C11" s="6"/>
      <c r="D11" s="6"/>
      <c r="E11" s="6"/>
      <c r="F11" s="27"/>
      <c r="G11" s="6"/>
      <c r="H11" s="6"/>
      <c r="I11" s="6"/>
      <c r="J11" s="6"/>
      <c r="K11" s="6"/>
      <c r="L11" s="6"/>
      <c r="M11" s="22"/>
      <c r="N11" s="22"/>
      <c r="O11" s="6"/>
      <c r="P11" s="6"/>
      <c r="Q11" s="6"/>
    </row>
    <row r="12" spans="1:17" x14ac:dyDescent="0.8">
      <c r="A12" s="1" t="s">
        <v>356</v>
      </c>
      <c r="B12" s="1" t="s">
        <v>79</v>
      </c>
      <c r="C12" s="1" t="s">
        <v>357</v>
      </c>
      <c r="D12" s="1" t="s">
        <v>80</v>
      </c>
      <c r="E12" s="1" t="s">
        <v>2</v>
      </c>
      <c r="F12" s="26" t="s">
        <v>5</v>
      </c>
      <c r="G12" s="1" t="s">
        <v>358</v>
      </c>
      <c r="H12" s="1" t="s">
        <v>611</v>
      </c>
      <c r="I12" s="1" t="s">
        <v>612</v>
      </c>
      <c r="J12" s="1" t="s">
        <v>613</v>
      </c>
      <c r="K12" s="1" t="s">
        <v>614</v>
      </c>
      <c r="L12" s="1" t="s">
        <v>615</v>
      </c>
      <c r="M12" s="21" t="s">
        <v>616</v>
      </c>
      <c r="N12" s="21" t="s">
        <v>617</v>
      </c>
      <c r="O12" s="1" t="s">
        <v>618</v>
      </c>
      <c r="P12" s="1" t="s">
        <v>619</v>
      </c>
      <c r="Q12" s="1" t="s">
        <v>351</v>
      </c>
    </row>
    <row r="13" spans="1:17" hidden="1" x14ac:dyDescent="0.8">
      <c r="A13" s="2" t="s">
        <v>359</v>
      </c>
      <c r="B13" s="2" t="s">
        <v>86</v>
      </c>
      <c r="C13" s="2" t="s">
        <v>145</v>
      </c>
      <c r="D13" s="2" t="s">
        <v>87</v>
      </c>
      <c r="E13" s="2" t="s">
        <v>9</v>
      </c>
      <c r="F13" s="14">
        <v>41455</v>
      </c>
      <c r="G13" s="2" t="s">
        <v>360</v>
      </c>
      <c r="H13" s="13">
        <f>_xlfn.FLOOR.MATH(YEARFRAC(DATE(2018,1,1),F13))</f>
        <v>4</v>
      </c>
      <c r="I13" s="2" t="str">
        <f t="shared" ref="I13:I44" si="0">IF(H13&lt;6,VLOOKUP(H13,Rooms,2,TRUE),"NOT ALLOWED")</f>
        <v>Kangaroo Room</v>
      </c>
      <c r="J13" s="2" t="str">
        <f t="shared" ref="J13:J44" si="1">IF(H13+1&lt;6,VLOOKUP(H13+1,Rooms,2,TRUE),"NOT ALLOWED")</f>
        <v>Kangaroo Room</v>
      </c>
      <c r="K13" s="2">
        <f>IF(ISNUMBER(SEARCH("mon",G13)),1,0)
+ IF(ISNUMBER(SEARCH("tues",G13)),1,0)
+ IF(ISNUMBER(SEARCH("wed",G13)),1,0)
+ IF(ISNUMBER(SEARCH("thurs",G13)),1,0)
+ IF(ISNUMBER(SEARCH("fri",G13)),1,0)
+ IF(ISNUMBER(SEARCH("sat",G13)),1,0)
+ IF(ISNUMBER(SEARCH("sun",G13)),1,0)</f>
        <v>3</v>
      </c>
      <c r="L13" s="2" t="str">
        <f>IF(ISNUMBER(SEARCH("mon",G13)),0,1)
&amp; IF(ISNUMBER(SEARCH("tues",G13)),0,1)
&amp; IF(ISNUMBER(SEARCH("wed",G13)),0,1)
&amp; IF(ISNUMBER(SEARCH("thurs",G13)),0,1)
&amp; IF(ISNUMBER(SEARCH("fri",G13)),0,1)
&amp; 1
&amp; 1</f>
        <v>0011111</v>
      </c>
      <c r="M13" s="9">
        <f>IF(H13&lt;6,
(NETWORKDAYS.INTL(DATE(2018,1,1),DATE(2018,MONTH(F13),DAY(F13)),L13,Holidays)) *
VLOOKUP(H13,CareCosts,2),
0)</f>
        <v>4165</v>
      </c>
      <c r="N13" s="9">
        <f>IF(H13&lt;6,
(NETWORKDAYS.INTL(DATE(2018,1,1),DATE(2018,MONTH(F13),DAY(F13)),IF(ISNUMBER(SEARCH("sat",G13)),"1111101","1111111"),Holidays)) *
(VLOOKUP(H13,CareCosts,2)+ SaturdayPenalty),
0)</f>
        <v>2375</v>
      </c>
      <c r="O13" s="9">
        <f t="shared" ref="O13:O44" si="2">IF(H13+1&lt;6,
(NETWORKDAYS.INTL(DATE(2018,MONTH(F13),DAY(F13)),DATE(2018,12,31),L13,Holidays)) *
VLOOKUP(H13+1,CareCosts,2),0)</f>
        <v>4080</v>
      </c>
      <c r="P13" s="9">
        <f t="shared" ref="P13:P44" si="3">IF(H13+1&lt;6,
(NETWORKDAYS.INTL(DATE(2018,1,1),DATE(2018,MONTH(F13),DAY(F13)),IF(ISNUMBER(SEARCH("sat",G13)),"1111101","1111111"),Holidays)) *
(VLOOKUP(H13+1,CareCosts,2)+ SaturdayPenalty),
0)</f>
        <v>2250</v>
      </c>
      <c r="Q13" s="10">
        <f>SUM(M13,N13,O13,P13)</f>
        <v>12870</v>
      </c>
    </row>
    <row r="14" spans="1:17" hidden="1" x14ac:dyDescent="0.8">
      <c r="A14" s="2" t="s">
        <v>361</v>
      </c>
      <c r="B14" s="2" t="s">
        <v>86</v>
      </c>
      <c r="C14" s="2" t="s">
        <v>362</v>
      </c>
      <c r="D14" s="2" t="s">
        <v>87</v>
      </c>
      <c r="E14" s="2" t="s">
        <v>9</v>
      </c>
      <c r="F14" s="14">
        <v>41921</v>
      </c>
      <c r="G14" s="2" t="s">
        <v>360</v>
      </c>
      <c r="H14" s="13">
        <f t="shared" ref="H14:H77" si="4">_xlfn.FLOOR.MATH(YEARFRAC(DATE(2018,1,1),F14))</f>
        <v>3</v>
      </c>
      <c r="I14" s="2" t="str">
        <f t="shared" si="0"/>
        <v>Koala Room</v>
      </c>
      <c r="J14" s="2" t="str">
        <f t="shared" si="1"/>
        <v>Kangaroo Room</v>
      </c>
      <c r="K14" s="2">
        <f t="shared" ref="K14:K77" si="5">IF(ISNUMBER(SEARCH("mon",G14)),1,0)
+ IF(ISNUMBER(SEARCH("tues",G14)),1,0)
+ IF(ISNUMBER(SEARCH("wed",G14)),1,0)
+ IF(ISNUMBER(SEARCH("thurs",G14)),1,0)
+ IF(ISNUMBER(SEARCH("fri",G14)),1,0)
+ IF(ISNUMBER(SEARCH("sat",G14)),1,0)
+ IF(ISNUMBER(SEARCH("sun",G14)),1,0)</f>
        <v>3</v>
      </c>
      <c r="L14" s="2" t="str">
        <f t="shared" ref="L14:L77" si="6">IF(ISNUMBER(SEARCH("mon",G14)),0,1)
&amp; IF(ISNUMBER(SEARCH("tues",G14)),0,1)
&amp; IF(ISNUMBER(SEARCH("wed",G14)),0,1)
&amp; IF(ISNUMBER(SEARCH("thurs",G14)),0,1)
&amp; IF(ISNUMBER(SEARCH("fri",G14)),0,1)
&amp; 1
&amp; 1</f>
        <v>0011111</v>
      </c>
      <c r="M14" s="9">
        <f t="shared" ref="M14:M44" si="7">IF(H14&lt;6,
(NETWORKDAYS.INTL(DATE(2018,1,1),DATE(2018,MONTH(F14),DAY(F14)),L14,Holidays)) *
VLOOKUP(H14,CareCosts,2),
0)</f>
        <v>7020</v>
      </c>
      <c r="N14" s="9">
        <f t="shared" ref="N14:N45" si="8">IF(H14&lt;6,
(NETWORKDAYS.INTL(DATE(2018,1,1),DATE(2018,MONTH(F14),DAY(F14)+1),IF(ISNUMBER(SEARCH("sat",G14)),"1111101","1111111"),Holidays)) *
(VLOOKUP(H14,CareCosts,2)+ SaturdayPenalty),
0)</f>
        <v>3900</v>
      </c>
      <c r="O14" s="9">
        <f t="shared" si="2"/>
        <v>1955</v>
      </c>
      <c r="P14" s="9">
        <f t="shared" si="3"/>
        <v>3705</v>
      </c>
      <c r="Q14" s="10">
        <f t="shared" ref="Q14:Q77" si="9">SUM(M14,N14,O14,P14)</f>
        <v>16580</v>
      </c>
    </row>
    <row r="15" spans="1:17" hidden="1" x14ac:dyDescent="0.8">
      <c r="A15" s="2" t="s">
        <v>363</v>
      </c>
      <c r="B15" s="2" t="s">
        <v>86</v>
      </c>
      <c r="C15" s="2" t="s">
        <v>364</v>
      </c>
      <c r="D15" s="2" t="s">
        <v>87</v>
      </c>
      <c r="E15" s="2" t="s">
        <v>9</v>
      </c>
      <c r="F15" s="14">
        <v>42310</v>
      </c>
      <c r="G15" s="2" t="s">
        <v>360</v>
      </c>
      <c r="H15" s="13">
        <f t="shared" si="4"/>
        <v>2</v>
      </c>
      <c r="I15" s="2" t="str">
        <f t="shared" si="0"/>
        <v>Emu Room</v>
      </c>
      <c r="J15" s="2" t="str">
        <f t="shared" si="1"/>
        <v>Koala Room</v>
      </c>
      <c r="K15" s="2">
        <f t="shared" si="5"/>
        <v>3</v>
      </c>
      <c r="L15" s="2" t="str">
        <f t="shared" si="6"/>
        <v>0011111</v>
      </c>
      <c r="M15" s="9">
        <f t="shared" si="7"/>
        <v>8820</v>
      </c>
      <c r="N15" s="9">
        <f t="shared" si="8"/>
        <v>4945</v>
      </c>
      <c r="O15" s="9">
        <f t="shared" si="2"/>
        <v>1440</v>
      </c>
      <c r="P15" s="9">
        <f t="shared" si="3"/>
        <v>4200</v>
      </c>
      <c r="Q15" s="10">
        <f t="shared" si="9"/>
        <v>19405</v>
      </c>
    </row>
    <row r="16" spans="1:17" hidden="1" x14ac:dyDescent="0.8">
      <c r="A16" s="2" t="s">
        <v>365</v>
      </c>
      <c r="B16" s="2" t="s">
        <v>86</v>
      </c>
      <c r="C16" s="2" t="s">
        <v>366</v>
      </c>
      <c r="D16" s="2" t="s">
        <v>87</v>
      </c>
      <c r="E16" s="2" t="s">
        <v>12</v>
      </c>
      <c r="F16" s="14">
        <v>43095</v>
      </c>
      <c r="G16" s="2" t="s">
        <v>360</v>
      </c>
      <c r="H16" s="13">
        <f t="shared" si="4"/>
        <v>0</v>
      </c>
      <c r="I16" s="2" t="str">
        <f t="shared" si="0"/>
        <v>Platypus Room</v>
      </c>
      <c r="J16" s="2" t="str">
        <f t="shared" si="1"/>
        <v>Platypus Room</v>
      </c>
      <c r="K16" s="2">
        <f t="shared" si="5"/>
        <v>3</v>
      </c>
      <c r="L16" s="2" t="str">
        <f t="shared" si="6"/>
        <v>0011111</v>
      </c>
      <c r="M16" s="9">
        <f t="shared" si="7"/>
        <v>11880</v>
      </c>
      <c r="N16" s="9">
        <f t="shared" si="8"/>
        <v>6500</v>
      </c>
      <c r="O16" s="9">
        <f t="shared" si="2"/>
        <v>110</v>
      </c>
      <c r="P16" s="9">
        <f t="shared" si="3"/>
        <v>6000</v>
      </c>
      <c r="Q16" s="10">
        <f t="shared" si="9"/>
        <v>24490</v>
      </c>
    </row>
    <row r="17" spans="1:17" hidden="1" x14ac:dyDescent="0.8">
      <c r="A17" s="2" t="s">
        <v>367</v>
      </c>
      <c r="B17" s="2" t="s">
        <v>90</v>
      </c>
      <c r="C17" s="2" t="s">
        <v>247</v>
      </c>
      <c r="D17" s="2" t="s">
        <v>91</v>
      </c>
      <c r="E17" s="2" t="s">
        <v>9</v>
      </c>
      <c r="F17" s="14">
        <v>42785</v>
      </c>
      <c r="G17" s="2" t="s">
        <v>368</v>
      </c>
      <c r="H17" s="13">
        <f t="shared" si="4"/>
        <v>0</v>
      </c>
      <c r="I17" s="2" t="str">
        <f t="shared" si="0"/>
        <v>Platypus Room</v>
      </c>
      <c r="J17" s="2" t="str">
        <f t="shared" si="1"/>
        <v>Platypus Room</v>
      </c>
      <c r="K17" s="2">
        <f t="shared" si="5"/>
        <v>2</v>
      </c>
      <c r="L17" s="2" t="str">
        <f t="shared" si="6"/>
        <v>1001111</v>
      </c>
      <c r="M17" s="9">
        <f t="shared" si="7"/>
        <v>1680</v>
      </c>
      <c r="N17" s="9">
        <f t="shared" si="8"/>
        <v>0</v>
      </c>
      <c r="O17" s="9">
        <f t="shared" si="2"/>
        <v>9460</v>
      </c>
      <c r="P17" s="9">
        <f t="shared" si="3"/>
        <v>0</v>
      </c>
      <c r="Q17" s="10">
        <f t="shared" si="9"/>
        <v>11140</v>
      </c>
    </row>
    <row r="18" spans="1:17" hidden="1" x14ac:dyDescent="0.8">
      <c r="A18" s="2" t="s">
        <v>369</v>
      </c>
      <c r="B18" s="2" t="s">
        <v>90</v>
      </c>
      <c r="C18" s="2" t="s">
        <v>155</v>
      </c>
      <c r="D18" s="2" t="s">
        <v>91</v>
      </c>
      <c r="E18" s="2" t="s">
        <v>12</v>
      </c>
      <c r="F18" s="14">
        <v>42785</v>
      </c>
      <c r="G18" s="2" t="s">
        <v>368</v>
      </c>
      <c r="H18" s="13">
        <f t="shared" si="4"/>
        <v>0</v>
      </c>
      <c r="I18" s="2" t="str">
        <f t="shared" si="0"/>
        <v>Platypus Room</v>
      </c>
      <c r="J18" s="2" t="str">
        <f t="shared" si="1"/>
        <v>Platypus Room</v>
      </c>
      <c r="K18" s="2">
        <f t="shared" si="5"/>
        <v>2</v>
      </c>
      <c r="L18" s="2" t="str">
        <f t="shared" si="6"/>
        <v>1001111</v>
      </c>
      <c r="M18" s="9">
        <f t="shared" si="7"/>
        <v>1680</v>
      </c>
      <c r="N18" s="9">
        <f t="shared" si="8"/>
        <v>0</v>
      </c>
      <c r="O18" s="9">
        <f t="shared" si="2"/>
        <v>9460</v>
      </c>
      <c r="P18" s="9">
        <f t="shared" si="3"/>
        <v>0</v>
      </c>
      <c r="Q18" s="10">
        <f t="shared" si="9"/>
        <v>11140</v>
      </c>
    </row>
    <row r="19" spans="1:17" hidden="1" x14ac:dyDescent="0.8">
      <c r="A19" s="2" t="s">
        <v>370</v>
      </c>
      <c r="B19" s="2" t="s">
        <v>94</v>
      </c>
      <c r="C19" s="2" t="s">
        <v>371</v>
      </c>
      <c r="D19" s="2" t="s">
        <v>95</v>
      </c>
      <c r="E19" s="2" t="s">
        <v>12</v>
      </c>
      <c r="F19" s="14">
        <v>41980</v>
      </c>
      <c r="G19" s="2" t="s">
        <v>372</v>
      </c>
      <c r="H19" s="13">
        <f t="shared" si="4"/>
        <v>3</v>
      </c>
      <c r="I19" s="2" t="str">
        <f t="shared" si="0"/>
        <v>Koala Room</v>
      </c>
      <c r="J19" s="2" t="str">
        <f t="shared" si="1"/>
        <v>Kangaroo Room</v>
      </c>
      <c r="K19" s="2">
        <f t="shared" si="5"/>
        <v>2</v>
      </c>
      <c r="L19" s="2" t="str">
        <f t="shared" si="6"/>
        <v>1111011</v>
      </c>
      <c r="M19" s="9">
        <f t="shared" si="7"/>
        <v>4230</v>
      </c>
      <c r="N19" s="9">
        <f t="shared" si="8"/>
        <v>4800</v>
      </c>
      <c r="O19" s="9">
        <f t="shared" si="2"/>
        <v>340</v>
      </c>
      <c r="P19" s="9">
        <f t="shared" si="3"/>
        <v>4465</v>
      </c>
      <c r="Q19" s="10">
        <f t="shared" si="9"/>
        <v>13835</v>
      </c>
    </row>
    <row r="20" spans="1:17" hidden="1" x14ac:dyDescent="0.8">
      <c r="A20" s="2" t="s">
        <v>373</v>
      </c>
      <c r="B20" s="2" t="s">
        <v>94</v>
      </c>
      <c r="C20" s="2" t="s">
        <v>131</v>
      </c>
      <c r="D20" s="2" t="s">
        <v>95</v>
      </c>
      <c r="E20" s="2" t="s">
        <v>9</v>
      </c>
      <c r="F20" s="14">
        <v>41980</v>
      </c>
      <c r="G20" s="2" t="s">
        <v>372</v>
      </c>
      <c r="H20" s="13">
        <f t="shared" si="4"/>
        <v>3</v>
      </c>
      <c r="I20" s="2" t="str">
        <f t="shared" si="0"/>
        <v>Koala Room</v>
      </c>
      <c r="J20" s="2" t="str">
        <f t="shared" si="1"/>
        <v>Kangaroo Room</v>
      </c>
      <c r="K20" s="2">
        <f t="shared" si="5"/>
        <v>2</v>
      </c>
      <c r="L20" s="2" t="str">
        <f t="shared" si="6"/>
        <v>1111011</v>
      </c>
      <c r="M20" s="9">
        <f t="shared" si="7"/>
        <v>4230</v>
      </c>
      <c r="N20" s="9">
        <f t="shared" si="8"/>
        <v>4800</v>
      </c>
      <c r="O20" s="9">
        <f t="shared" si="2"/>
        <v>340</v>
      </c>
      <c r="P20" s="9">
        <f t="shared" si="3"/>
        <v>4465</v>
      </c>
      <c r="Q20" s="10">
        <f t="shared" si="9"/>
        <v>13835</v>
      </c>
    </row>
    <row r="21" spans="1:17" hidden="1" x14ac:dyDescent="0.8">
      <c r="A21" s="2" t="s">
        <v>374</v>
      </c>
      <c r="B21" s="2" t="s">
        <v>94</v>
      </c>
      <c r="C21" s="2" t="s">
        <v>26</v>
      </c>
      <c r="D21" s="2" t="s">
        <v>95</v>
      </c>
      <c r="E21" s="2" t="s">
        <v>9</v>
      </c>
      <c r="F21" s="14">
        <v>41980</v>
      </c>
      <c r="G21" s="2" t="s">
        <v>372</v>
      </c>
      <c r="H21" s="13">
        <f t="shared" si="4"/>
        <v>3</v>
      </c>
      <c r="I21" s="2" t="str">
        <f t="shared" si="0"/>
        <v>Koala Room</v>
      </c>
      <c r="J21" s="2" t="str">
        <f t="shared" si="1"/>
        <v>Kangaroo Room</v>
      </c>
      <c r="K21" s="2">
        <f t="shared" si="5"/>
        <v>2</v>
      </c>
      <c r="L21" s="2" t="str">
        <f t="shared" si="6"/>
        <v>1111011</v>
      </c>
      <c r="M21" s="9">
        <f t="shared" si="7"/>
        <v>4230</v>
      </c>
      <c r="N21" s="9">
        <f t="shared" si="8"/>
        <v>4800</v>
      </c>
      <c r="O21" s="9">
        <f t="shared" si="2"/>
        <v>340</v>
      </c>
      <c r="P21" s="9">
        <f t="shared" si="3"/>
        <v>4465</v>
      </c>
      <c r="Q21" s="10">
        <f t="shared" si="9"/>
        <v>13835</v>
      </c>
    </row>
    <row r="22" spans="1:17" hidden="1" x14ac:dyDescent="0.8">
      <c r="A22" s="2" t="s">
        <v>375</v>
      </c>
      <c r="B22" s="2" t="s">
        <v>94</v>
      </c>
      <c r="C22" s="2" t="s">
        <v>155</v>
      </c>
      <c r="D22" s="2" t="s">
        <v>95</v>
      </c>
      <c r="E22" s="2" t="s">
        <v>12</v>
      </c>
      <c r="F22" s="14">
        <v>41980</v>
      </c>
      <c r="G22" s="2" t="s">
        <v>372</v>
      </c>
      <c r="H22" s="13">
        <f t="shared" si="4"/>
        <v>3</v>
      </c>
      <c r="I22" s="2" t="str">
        <f t="shared" si="0"/>
        <v>Koala Room</v>
      </c>
      <c r="J22" s="2" t="str">
        <f t="shared" si="1"/>
        <v>Kangaroo Room</v>
      </c>
      <c r="K22" s="2">
        <f t="shared" si="5"/>
        <v>2</v>
      </c>
      <c r="L22" s="2" t="str">
        <f t="shared" si="6"/>
        <v>1111011</v>
      </c>
      <c r="M22" s="9">
        <f t="shared" si="7"/>
        <v>4230</v>
      </c>
      <c r="N22" s="9">
        <f t="shared" si="8"/>
        <v>4800</v>
      </c>
      <c r="O22" s="9">
        <f t="shared" si="2"/>
        <v>340</v>
      </c>
      <c r="P22" s="9">
        <f t="shared" si="3"/>
        <v>4465</v>
      </c>
      <c r="Q22" s="10">
        <f t="shared" si="9"/>
        <v>13835</v>
      </c>
    </row>
    <row r="23" spans="1:17" x14ac:dyDescent="0.8">
      <c r="A23" s="2" t="s">
        <v>376</v>
      </c>
      <c r="B23" s="2" t="s">
        <v>98</v>
      </c>
      <c r="C23" s="2" t="s">
        <v>377</v>
      </c>
      <c r="D23" s="2" t="s">
        <v>99</v>
      </c>
      <c r="E23" s="2" t="s">
        <v>12</v>
      </c>
      <c r="F23" s="14">
        <v>42703</v>
      </c>
      <c r="G23" s="2" t="s">
        <v>378</v>
      </c>
      <c r="H23" s="13">
        <f t="shared" si="4"/>
        <v>1</v>
      </c>
      <c r="I23" s="2" t="str">
        <f t="shared" si="0"/>
        <v>Platypus Room</v>
      </c>
      <c r="J23" s="2" t="str">
        <f t="shared" si="1"/>
        <v>Emu Room</v>
      </c>
      <c r="K23" s="2">
        <f t="shared" si="5"/>
        <v>5</v>
      </c>
      <c r="L23" s="2" t="str">
        <f t="shared" si="6"/>
        <v>1000011</v>
      </c>
      <c r="M23" s="9">
        <f t="shared" si="7"/>
        <v>20570</v>
      </c>
      <c r="N23" s="9">
        <f t="shared" si="8"/>
        <v>5520</v>
      </c>
      <c r="O23" s="9">
        <f t="shared" si="2"/>
        <v>1680</v>
      </c>
      <c r="P23" s="9">
        <f t="shared" si="3"/>
        <v>5290</v>
      </c>
      <c r="Q23" s="10">
        <f t="shared" si="9"/>
        <v>33060</v>
      </c>
    </row>
    <row r="24" spans="1:17" hidden="1" x14ac:dyDescent="0.8">
      <c r="A24" s="2" t="s">
        <v>379</v>
      </c>
      <c r="B24" s="2" t="s">
        <v>102</v>
      </c>
      <c r="C24" s="2" t="s">
        <v>220</v>
      </c>
      <c r="D24" s="2" t="s">
        <v>103</v>
      </c>
      <c r="E24" s="2" t="s">
        <v>12</v>
      </c>
      <c r="F24" s="14">
        <v>41772</v>
      </c>
      <c r="G24" s="2" t="s">
        <v>380</v>
      </c>
      <c r="H24" s="13">
        <f t="shared" si="4"/>
        <v>3</v>
      </c>
      <c r="I24" s="2" t="str">
        <f t="shared" si="0"/>
        <v>Koala Room</v>
      </c>
      <c r="J24" s="2" t="str">
        <f t="shared" si="1"/>
        <v>Kangaroo Room</v>
      </c>
      <c r="K24" s="2">
        <f t="shared" si="5"/>
        <v>4</v>
      </c>
      <c r="L24" s="2" t="str">
        <f t="shared" si="6"/>
        <v>0001111</v>
      </c>
      <c r="M24" s="9">
        <f t="shared" si="7"/>
        <v>4770</v>
      </c>
      <c r="N24" s="9">
        <f t="shared" si="8"/>
        <v>1800</v>
      </c>
      <c r="O24" s="9">
        <f t="shared" si="2"/>
        <v>8160</v>
      </c>
      <c r="P24" s="9">
        <f t="shared" si="3"/>
        <v>1710</v>
      </c>
      <c r="Q24" s="10">
        <f t="shared" si="9"/>
        <v>16440</v>
      </c>
    </row>
    <row r="25" spans="1:17" hidden="1" x14ac:dyDescent="0.8">
      <c r="A25" s="2" t="s">
        <v>381</v>
      </c>
      <c r="B25" s="2" t="s">
        <v>106</v>
      </c>
      <c r="C25" s="2" t="s">
        <v>382</v>
      </c>
      <c r="D25" s="2" t="s">
        <v>107</v>
      </c>
      <c r="E25" s="2" t="s">
        <v>12</v>
      </c>
      <c r="F25" s="14">
        <v>42061</v>
      </c>
      <c r="G25" s="2" t="s">
        <v>383</v>
      </c>
      <c r="H25" s="13">
        <f t="shared" si="4"/>
        <v>2</v>
      </c>
      <c r="I25" s="2" t="str">
        <f t="shared" si="0"/>
        <v>Emu Room</v>
      </c>
      <c r="J25" s="2" t="str">
        <f t="shared" si="1"/>
        <v>Koala Room</v>
      </c>
      <c r="K25" s="2">
        <f t="shared" si="5"/>
        <v>4</v>
      </c>
      <c r="L25" s="2" t="str">
        <f t="shared" si="6"/>
        <v>1010011</v>
      </c>
      <c r="M25" s="9">
        <f t="shared" si="7"/>
        <v>2415</v>
      </c>
      <c r="N25" s="9">
        <f t="shared" si="8"/>
        <v>920</v>
      </c>
      <c r="O25" s="9">
        <f t="shared" si="2"/>
        <v>11700</v>
      </c>
      <c r="P25" s="9">
        <f t="shared" si="3"/>
        <v>800</v>
      </c>
      <c r="Q25" s="10">
        <f t="shared" si="9"/>
        <v>15835</v>
      </c>
    </row>
    <row r="26" spans="1:17" hidden="1" x14ac:dyDescent="0.8">
      <c r="A26" s="2" t="s">
        <v>384</v>
      </c>
      <c r="B26" s="2" t="s">
        <v>110</v>
      </c>
      <c r="C26" s="2" t="s">
        <v>385</v>
      </c>
      <c r="D26" s="2" t="s">
        <v>111</v>
      </c>
      <c r="E26" s="2" t="s">
        <v>9</v>
      </c>
      <c r="F26" s="14">
        <v>42132</v>
      </c>
      <c r="G26" s="2" t="s">
        <v>386</v>
      </c>
      <c r="H26" s="13">
        <f t="shared" si="4"/>
        <v>2</v>
      </c>
      <c r="I26" s="2" t="str">
        <f t="shared" si="0"/>
        <v>Emu Room</v>
      </c>
      <c r="J26" s="2" t="str">
        <f t="shared" si="1"/>
        <v>Koala Room</v>
      </c>
      <c r="K26" s="2">
        <f t="shared" si="5"/>
        <v>3</v>
      </c>
      <c r="L26" s="2" t="str">
        <f t="shared" si="6"/>
        <v>0110011</v>
      </c>
      <c r="M26" s="9">
        <f t="shared" si="7"/>
        <v>5250</v>
      </c>
      <c r="N26" s="9">
        <f t="shared" si="8"/>
        <v>0</v>
      </c>
      <c r="O26" s="9">
        <f t="shared" si="2"/>
        <v>9090</v>
      </c>
      <c r="P26" s="9">
        <f t="shared" si="3"/>
        <v>0</v>
      </c>
      <c r="Q26" s="10">
        <f t="shared" si="9"/>
        <v>14340</v>
      </c>
    </row>
    <row r="27" spans="1:17" hidden="1" x14ac:dyDescent="0.8">
      <c r="A27" s="2" t="s">
        <v>387</v>
      </c>
      <c r="B27" s="2" t="s">
        <v>115</v>
      </c>
      <c r="C27" s="2" t="s">
        <v>388</v>
      </c>
      <c r="D27" s="2" t="s">
        <v>116</v>
      </c>
      <c r="E27" s="2" t="s">
        <v>9</v>
      </c>
      <c r="F27" s="14">
        <v>42215</v>
      </c>
      <c r="G27" s="2" t="s">
        <v>389</v>
      </c>
      <c r="H27" s="13">
        <f t="shared" si="4"/>
        <v>2</v>
      </c>
      <c r="I27" s="2" t="str">
        <f t="shared" si="0"/>
        <v>Emu Room</v>
      </c>
      <c r="J27" s="2" t="str">
        <f t="shared" si="1"/>
        <v>Koala Room</v>
      </c>
      <c r="K27" s="2">
        <f t="shared" si="5"/>
        <v>4</v>
      </c>
      <c r="L27" s="2" t="str">
        <f t="shared" si="6"/>
        <v>0000111</v>
      </c>
      <c r="M27" s="9">
        <f t="shared" si="7"/>
        <v>12285</v>
      </c>
      <c r="N27" s="9">
        <f t="shared" si="8"/>
        <v>0</v>
      </c>
      <c r="O27" s="9">
        <f t="shared" si="2"/>
        <v>7650</v>
      </c>
      <c r="P27" s="9">
        <f t="shared" si="3"/>
        <v>0</v>
      </c>
      <c r="Q27" s="10">
        <f t="shared" si="9"/>
        <v>19935</v>
      </c>
    </row>
    <row r="28" spans="1:17" hidden="1" x14ac:dyDescent="0.8">
      <c r="A28" s="2" t="s">
        <v>390</v>
      </c>
      <c r="B28" s="2" t="s">
        <v>115</v>
      </c>
      <c r="C28" s="2" t="s">
        <v>391</v>
      </c>
      <c r="D28" s="2" t="s">
        <v>116</v>
      </c>
      <c r="E28" s="2" t="s">
        <v>12</v>
      </c>
      <c r="F28" s="14">
        <v>42717</v>
      </c>
      <c r="G28" s="2" t="s">
        <v>389</v>
      </c>
      <c r="H28" s="13">
        <f t="shared" si="4"/>
        <v>1</v>
      </c>
      <c r="I28" s="2" t="str">
        <f t="shared" si="0"/>
        <v>Platypus Room</v>
      </c>
      <c r="J28" s="2" t="str">
        <f t="shared" si="1"/>
        <v>Emu Room</v>
      </c>
      <c r="K28" s="2">
        <f t="shared" si="5"/>
        <v>4</v>
      </c>
      <c r="L28" s="2" t="str">
        <f t="shared" si="6"/>
        <v>0000111</v>
      </c>
      <c r="M28" s="9">
        <f t="shared" si="7"/>
        <v>21340</v>
      </c>
      <c r="N28" s="9">
        <f t="shared" si="8"/>
        <v>0</v>
      </c>
      <c r="O28" s="9">
        <f t="shared" si="2"/>
        <v>840</v>
      </c>
      <c r="P28" s="9">
        <f t="shared" si="3"/>
        <v>0</v>
      </c>
      <c r="Q28" s="10">
        <f t="shared" si="9"/>
        <v>22180</v>
      </c>
    </row>
    <row r="29" spans="1:17" hidden="1" x14ac:dyDescent="0.8">
      <c r="A29" s="2" t="s">
        <v>392</v>
      </c>
      <c r="B29" s="2" t="s">
        <v>120</v>
      </c>
      <c r="C29" s="2" t="s">
        <v>393</v>
      </c>
      <c r="D29" s="2" t="s">
        <v>121</v>
      </c>
      <c r="E29" s="2" t="s">
        <v>9</v>
      </c>
      <c r="F29" s="14">
        <v>42180</v>
      </c>
      <c r="G29" s="2" t="s">
        <v>394</v>
      </c>
      <c r="H29" s="13">
        <f t="shared" si="4"/>
        <v>2</v>
      </c>
      <c r="I29" s="2" t="str">
        <f t="shared" si="0"/>
        <v>Emu Room</v>
      </c>
      <c r="J29" s="2" t="str">
        <f t="shared" si="1"/>
        <v>Koala Room</v>
      </c>
      <c r="K29" s="2">
        <f t="shared" si="5"/>
        <v>4</v>
      </c>
      <c r="L29" s="2" t="str">
        <f t="shared" si="6"/>
        <v>0110011</v>
      </c>
      <c r="M29" s="9">
        <f t="shared" si="7"/>
        <v>7455</v>
      </c>
      <c r="N29" s="9">
        <f t="shared" si="8"/>
        <v>2760</v>
      </c>
      <c r="O29" s="9">
        <f t="shared" si="2"/>
        <v>7290</v>
      </c>
      <c r="P29" s="9">
        <f t="shared" si="3"/>
        <v>2400</v>
      </c>
      <c r="Q29" s="10">
        <f t="shared" si="9"/>
        <v>19905</v>
      </c>
    </row>
    <row r="30" spans="1:17" hidden="1" x14ac:dyDescent="0.8">
      <c r="A30" s="2" t="s">
        <v>395</v>
      </c>
      <c r="B30" s="2" t="s">
        <v>120</v>
      </c>
      <c r="C30" s="2" t="s">
        <v>396</v>
      </c>
      <c r="D30" s="2" t="s">
        <v>121</v>
      </c>
      <c r="E30" s="2" t="s">
        <v>12</v>
      </c>
      <c r="F30" s="14">
        <v>43010</v>
      </c>
      <c r="G30" s="2" t="s">
        <v>394</v>
      </c>
      <c r="H30" s="13">
        <f t="shared" si="4"/>
        <v>0</v>
      </c>
      <c r="I30" s="2" t="str">
        <f t="shared" si="0"/>
        <v>Platypus Room</v>
      </c>
      <c r="J30" s="2" t="str">
        <f t="shared" si="1"/>
        <v>Platypus Room</v>
      </c>
      <c r="K30" s="2">
        <f t="shared" si="5"/>
        <v>4</v>
      </c>
      <c r="L30" s="2" t="str">
        <f t="shared" si="6"/>
        <v>0110011</v>
      </c>
      <c r="M30" s="9">
        <f t="shared" si="7"/>
        <v>13440</v>
      </c>
      <c r="N30" s="9">
        <f t="shared" si="8"/>
        <v>4940</v>
      </c>
      <c r="O30" s="9">
        <f t="shared" si="2"/>
        <v>4290</v>
      </c>
      <c r="P30" s="9">
        <f t="shared" si="3"/>
        <v>4560</v>
      </c>
      <c r="Q30" s="10">
        <f t="shared" si="9"/>
        <v>27230</v>
      </c>
    </row>
    <row r="31" spans="1:17" hidden="1" x14ac:dyDescent="0.8">
      <c r="A31" s="2" t="s">
        <v>397</v>
      </c>
      <c r="B31" s="2" t="s">
        <v>124</v>
      </c>
      <c r="C31" s="2" t="s">
        <v>398</v>
      </c>
      <c r="D31" s="2" t="s">
        <v>125</v>
      </c>
      <c r="E31" s="2" t="s">
        <v>9</v>
      </c>
      <c r="F31" s="14">
        <v>41805</v>
      </c>
      <c r="G31" s="2" t="s">
        <v>380</v>
      </c>
      <c r="H31" s="13">
        <f t="shared" si="4"/>
        <v>3</v>
      </c>
      <c r="I31" s="2" t="str">
        <f t="shared" si="0"/>
        <v>Koala Room</v>
      </c>
      <c r="J31" s="2" t="str">
        <f t="shared" si="1"/>
        <v>Kangaroo Room</v>
      </c>
      <c r="K31" s="2">
        <f t="shared" si="5"/>
        <v>4</v>
      </c>
      <c r="L31" s="2" t="str">
        <f t="shared" si="6"/>
        <v>0001111</v>
      </c>
      <c r="M31" s="9">
        <f t="shared" si="7"/>
        <v>6120</v>
      </c>
      <c r="N31" s="9">
        <f t="shared" si="8"/>
        <v>2300</v>
      </c>
      <c r="O31" s="9">
        <f t="shared" si="2"/>
        <v>6885</v>
      </c>
      <c r="P31" s="9">
        <f t="shared" si="3"/>
        <v>2090</v>
      </c>
      <c r="Q31" s="10">
        <f t="shared" si="9"/>
        <v>17395</v>
      </c>
    </row>
    <row r="32" spans="1:17" x14ac:dyDescent="0.8">
      <c r="A32" s="2" t="s">
        <v>399</v>
      </c>
      <c r="B32" s="2" t="s">
        <v>128</v>
      </c>
      <c r="C32" s="2" t="s">
        <v>400</v>
      </c>
      <c r="D32" s="2" t="s">
        <v>129</v>
      </c>
      <c r="E32" s="2" t="s">
        <v>12</v>
      </c>
      <c r="F32" s="14">
        <v>41836</v>
      </c>
      <c r="G32" s="2" t="s">
        <v>401</v>
      </c>
      <c r="H32" s="13">
        <f t="shared" si="4"/>
        <v>3</v>
      </c>
      <c r="I32" s="2" t="str">
        <f t="shared" si="0"/>
        <v>Koala Room</v>
      </c>
      <c r="J32" s="2" t="str">
        <f t="shared" si="1"/>
        <v>Kangaroo Room</v>
      </c>
      <c r="K32" s="2">
        <f t="shared" si="5"/>
        <v>5</v>
      </c>
      <c r="L32" s="2" t="str">
        <f t="shared" si="6"/>
        <v>0100011</v>
      </c>
      <c r="M32" s="9">
        <f t="shared" si="7"/>
        <v>9630</v>
      </c>
      <c r="N32" s="9">
        <f t="shared" si="8"/>
        <v>2700</v>
      </c>
      <c r="O32" s="9">
        <f t="shared" si="2"/>
        <v>7990</v>
      </c>
      <c r="P32" s="9">
        <f t="shared" si="3"/>
        <v>2565</v>
      </c>
      <c r="Q32" s="10">
        <f t="shared" si="9"/>
        <v>22885</v>
      </c>
    </row>
    <row r="33" spans="1:17" x14ac:dyDescent="0.8">
      <c r="A33" s="2" t="s">
        <v>402</v>
      </c>
      <c r="B33" s="2" t="s">
        <v>128</v>
      </c>
      <c r="C33" s="2" t="s">
        <v>403</v>
      </c>
      <c r="D33" s="2" t="s">
        <v>129</v>
      </c>
      <c r="E33" s="2" t="s">
        <v>12</v>
      </c>
      <c r="F33" s="14">
        <v>41836</v>
      </c>
      <c r="G33" s="2" t="s">
        <v>401</v>
      </c>
      <c r="H33" s="13">
        <f t="shared" si="4"/>
        <v>3</v>
      </c>
      <c r="I33" s="2" t="str">
        <f t="shared" si="0"/>
        <v>Koala Room</v>
      </c>
      <c r="J33" s="2" t="str">
        <f t="shared" si="1"/>
        <v>Kangaroo Room</v>
      </c>
      <c r="K33" s="2">
        <f t="shared" si="5"/>
        <v>5</v>
      </c>
      <c r="L33" s="2" t="str">
        <f t="shared" si="6"/>
        <v>0100011</v>
      </c>
      <c r="M33" s="9">
        <f t="shared" si="7"/>
        <v>9630</v>
      </c>
      <c r="N33" s="9">
        <f t="shared" si="8"/>
        <v>2700</v>
      </c>
      <c r="O33" s="9">
        <f t="shared" si="2"/>
        <v>7990</v>
      </c>
      <c r="P33" s="9">
        <f t="shared" si="3"/>
        <v>2565</v>
      </c>
      <c r="Q33" s="10">
        <f t="shared" si="9"/>
        <v>22885</v>
      </c>
    </row>
    <row r="34" spans="1:17" x14ac:dyDescent="0.8">
      <c r="A34" s="2" t="s">
        <v>404</v>
      </c>
      <c r="B34" s="2" t="s">
        <v>128</v>
      </c>
      <c r="C34" s="2" t="s">
        <v>405</v>
      </c>
      <c r="D34" s="2" t="s">
        <v>129</v>
      </c>
      <c r="E34" s="2" t="s">
        <v>9</v>
      </c>
      <c r="F34" s="14">
        <v>42658</v>
      </c>
      <c r="G34" s="2" t="s">
        <v>401</v>
      </c>
      <c r="H34" s="13">
        <f t="shared" si="4"/>
        <v>1</v>
      </c>
      <c r="I34" s="2" t="str">
        <f t="shared" si="0"/>
        <v>Platypus Room</v>
      </c>
      <c r="J34" s="2" t="str">
        <f t="shared" si="1"/>
        <v>Emu Room</v>
      </c>
      <c r="K34" s="2">
        <f t="shared" si="5"/>
        <v>5</v>
      </c>
      <c r="L34" s="2" t="str">
        <f t="shared" si="6"/>
        <v>0100011</v>
      </c>
      <c r="M34" s="9">
        <f t="shared" si="7"/>
        <v>17270</v>
      </c>
      <c r="N34" s="9">
        <f t="shared" si="8"/>
        <v>4800</v>
      </c>
      <c r="O34" s="9">
        <f t="shared" si="2"/>
        <v>4620</v>
      </c>
      <c r="P34" s="9">
        <f t="shared" si="3"/>
        <v>4600</v>
      </c>
      <c r="Q34" s="10">
        <f t="shared" si="9"/>
        <v>31290</v>
      </c>
    </row>
    <row r="35" spans="1:17" x14ac:dyDescent="0.8">
      <c r="A35" s="2" t="s">
        <v>406</v>
      </c>
      <c r="B35" s="2" t="s">
        <v>128</v>
      </c>
      <c r="C35" s="2" t="s">
        <v>407</v>
      </c>
      <c r="D35" s="2" t="s">
        <v>129</v>
      </c>
      <c r="E35" s="2" t="s">
        <v>12</v>
      </c>
      <c r="F35" s="14">
        <v>42658</v>
      </c>
      <c r="G35" s="2" t="s">
        <v>401</v>
      </c>
      <c r="H35" s="13">
        <f t="shared" si="4"/>
        <v>1</v>
      </c>
      <c r="I35" s="2" t="str">
        <f t="shared" si="0"/>
        <v>Platypus Room</v>
      </c>
      <c r="J35" s="2" t="str">
        <f t="shared" si="1"/>
        <v>Emu Room</v>
      </c>
      <c r="K35" s="2">
        <f t="shared" si="5"/>
        <v>5</v>
      </c>
      <c r="L35" s="2" t="str">
        <f t="shared" si="6"/>
        <v>0100011</v>
      </c>
      <c r="M35" s="9">
        <f t="shared" si="7"/>
        <v>17270</v>
      </c>
      <c r="N35" s="9">
        <f t="shared" si="8"/>
        <v>4800</v>
      </c>
      <c r="O35" s="9">
        <f t="shared" si="2"/>
        <v>4620</v>
      </c>
      <c r="P35" s="9">
        <f t="shared" si="3"/>
        <v>4600</v>
      </c>
      <c r="Q35" s="10">
        <f t="shared" si="9"/>
        <v>31290</v>
      </c>
    </row>
    <row r="36" spans="1:17" x14ac:dyDescent="0.8">
      <c r="A36" s="2" t="s">
        <v>408</v>
      </c>
      <c r="B36" s="2" t="s">
        <v>133</v>
      </c>
      <c r="C36" s="2" t="s">
        <v>409</v>
      </c>
      <c r="D36" s="2" t="s">
        <v>134</v>
      </c>
      <c r="E36" s="2" t="s">
        <v>9</v>
      </c>
      <c r="F36" s="14">
        <v>41359</v>
      </c>
      <c r="G36" s="2" t="s">
        <v>410</v>
      </c>
      <c r="H36" s="13">
        <f t="shared" si="4"/>
        <v>4</v>
      </c>
      <c r="I36" s="2" t="str">
        <f t="shared" si="0"/>
        <v>Kangaroo Room</v>
      </c>
      <c r="J36" s="2" t="str">
        <f t="shared" si="1"/>
        <v>Kangaroo Room</v>
      </c>
      <c r="K36" s="2">
        <f t="shared" si="5"/>
        <v>5</v>
      </c>
      <c r="L36" s="2" t="str">
        <f t="shared" si="6"/>
        <v>0010011</v>
      </c>
      <c r="M36" s="9">
        <f t="shared" si="7"/>
        <v>3995</v>
      </c>
      <c r="N36" s="9">
        <f t="shared" si="8"/>
        <v>1140</v>
      </c>
      <c r="O36" s="9">
        <f t="shared" si="2"/>
        <v>12480</v>
      </c>
      <c r="P36" s="9">
        <f t="shared" si="3"/>
        <v>1080</v>
      </c>
      <c r="Q36" s="10">
        <f t="shared" si="9"/>
        <v>18695</v>
      </c>
    </row>
    <row r="37" spans="1:17" hidden="1" x14ac:dyDescent="0.8">
      <c r="A37" s="2" t="s">
        <v>411</v>
      </c>
      <c r="B37" s="2" t="s">
        <v>137</v>
      </c>
      <c r="C37" s="2" t="s">
        <v>412</v>
      </c>
      <c r="D37" s="2" t="s">
        <v>138</v>
      </c>
      <c r="E37" s="2" t="s">
        <v>12</v>
      </c>
      <c r="F37" s="14">
        <v>42184</v>
      </c>
      <c r="G37" s="2" t="s">
        <v>413</v>
      </c>
      <c r="H37" s="13">
        <f t="shared" si="4"/>
        <v>2</v>
      </c>
      <c r="I37" s="2" t="str">
        <f t="shared" si="0"/>
        <v>Emu Room</v>
      </c>
      <c r="J37" s="2" t="str">
        <f t="shared" si="1"/>
        <v>Koala Room</v>
      </c>
      <c r="K37" s="2">
        <f t="shared" si="5"/>
        <v>1</v>
      </c>
      <c r="L37" s="2" t="str">
        <f t="shared" si="6"/>
        <v>1110111</v>
      </c>
      <c r="M37" s="9">
        <f t="shared" si="7"/>
        <v>2730</v>
      </c>
      <c r="N37" s="9">
        <f t="shared" si="8"/>
        <v>0</v>
      </c>
      <c r="O37" s="9">
        <f t="shared" si="2"/>
        <v>2340</v>
      </c>
      <c r="P37" s="9">
        <f t="shared" si="3"/>
        <v>0</v>
      </c>
      <c r="Q37" s="10">
        <f t="shared" si="9"/>
        <v>5070</v>
      </c>
    </row>
    <row r="38" spans="1:17" hidden="1" x14ac:dyDescent="0.8">
      <c r="A38" s="2" t="s">
        <v>414</v>
      </c>
      <c r="B38" s="2" t="s">
        <v>140</v>
      </c>
      <c r="C38" s="2" t="s">
        <v>92</v>
      </c>
      <c r="D38" s="2" t="s">
        <v>141</v>
      </c>
      <c r="E38" s="2" t="s">
        <v>12</v>
      </c>
      <c r="F38" s="14">
        <v>41940</v>
      </c>
      <c r="G38" s="2" t="s">
        <v>415</v>
      </c>
      <c r="H38" s="13">
        <f t="shared" si="4"/>
        <v>3</v>
      </c>
      <c r="I38" s="2" t="str">
        <f t="shared" si="0"/>
        <v>Koala Room</v>
      </c>
      <c r="J38" s="2" t="str">
        <f t="shared" si="1"/>
        <v>Kangaroo Room</v>
      </c>
      <c r="K38" s="2">
        <f t="shared" si="5"/>
        <v>3</v>
      </c>
      <c r="L38" s="2" t="str">
        <f t="shared" si="6"/>
        <v>0110111</v>
      </c>
      <c r="M38" s="9">
        <f t="shared" si="7"/>
        <v>7380</v>
      </c>
      <c r="N38" s="9">
        <f t="shared" si="8"/>
        <v>4200</v>
      </c>
      <c r="O38" s="9">
        <f t="shared" si="2"/>
        <v>1615</v>
      </c>
      <c r="P38" s="9">
        <f t="shared" si="3"/>
        <v>3990</v>
      </c>
      <c r="Q38" s="10">
        <f t="shared" si="9"/>
        <v>17185</v>
      </c>
    </row>
    <row r="39" spans="1:17" hidden="1" x14ac:dyDescent="0.8">
      <c r="A39" s="2" t="s">
        <v>416</v>
      </c>
      <c r="B39" s="2" t="s">
        <v>140</v>
      </c>
      <c r="C39" s="2" t="s">
        <v>417</v>
      </c>
      <c r="D39" s="2" t="s">
        <v>141</v>
      </c>
      <c r="E39" s="2" t="s">
        <v>9</v>
      </c>
      <c r="F39" s="14">
        <v>41940</v>
      </c>
      <c r="G39" s="2" t="s">
        <v>415</v>
      </c>
      <c r="H39" s="13">
        <f t="shared" si="4"/>
        <v>3</v>
      </c>
      <c r="I39" s="2" t="str">
        <f t="shared" si="0"/>
        <v>Koala Room</v>
      </c>
      <c r="J39" s="2" t="str">
        <f t="shared" si="1"/>
        <v>Kangaroo Room</v>
      </c>
      <c r="K39" s="2">
        <f t="shared" si="5"/>
        <v>3</v>
      </c>
      <c r="L39" s="2" t="str">
        <f t="shared" si="6"/>
        <v>0110111</v>
      </c>
      <c r="M39" s="9">
        <f t="shared" si="7"/>
        <v>7380</v>
      </c>
      <c r="N39" s="9">
        <f t="shared" si="8"/>
        <v>4200</v>
      </c>
      <c r="O39" s="9">
        <f t="shared" si="2"/>
        <v>1615</v>
      </c>
      <c r="P39" s="9">
        <f t="shared" si="3"/>
        <v>3990</v>
      </c>
      <c r="Q39" s="10">
        <f t="shared" si="9"/>
        <v>17185</v>
      </c>
    </row>
    <row r="40" spans="1:17" hidden="1" x14ac:dyDescent="0.8">
      <c r="A40" s="2" t="s">
        <v>418</v>
      </c>
      <c r="B40" s="2" t="s">
        <v>140</v>
      </c>
      <c r="C40" s="2" t="s">
        <v>403</v>
      </c>
      <c r="D40" s="2" t="s">
        <v>141</v>
      </c>
      <c r="E40" s="2" t="s">
        <v>12</v>
      </c>
      <c r="F40" s="14">
        <v>41940</v>
      </c>
      <c r="G40" s="2" t="s">
        <v>415</v>
      </c>
      <c r="H40" s="13">
        <f t="shared" si="4"/>
        <v>3</v>
      </c>
      <c r="I40" s="2" t="str">
        <f t="shared" si="0"/>
        <v>Koala Room</v>
      </c>
      <c r="J40" s="2" t="str">
        <f t="shared" si="1"/>
        <v>Kangaroo Room</v>
      </c>
      <c r="K40" s="2">
        <f t="shared" si="5"/>
        <v>3</v>
      </c>
      <c r="L40" s="2" t="str">
        <f t="shared" si="6"/>
        <v>0110111</v>
      </c>
      <c r="M40" s="9">
        <f t="shared" si="7"/>
        <v>7380</v>
      </c>
      <c r="N40" s="9">
        <f t="shared" si="8"/>
        <v>4200</v>
      </c>
      <c r="O40" s="9">
        <f t="shared" si="2"/>
        <v>1615</v>
      </c>
      <c r="P40" s="9">
        <f t="shared" si="3"/>
        <v>3990</v>
      </c>
      <c r="Q40" s="10">
        <f t="shared" si="9"/>
        <v>17185</v>
      </c>
    </row>
    <row r="41" spans="1:17" hidden="1" x14ac:dyDescent="0.8">
      <c r="A41" s="2" t="s">
        <v>419</v>
      </c>
      <c r="B41" s="2" t="s">
        <v>140</v>
      </c>
      <c r="C41" s="2" t="s">
        <v>420</v>
      </c>
      <c r="D41" s="2" t="s">
        <v>141</v>
      </c>
      <c r="E41" s="2" t="s">
        <v>12</v>
      </c>
      <c r="F41" s="14">
        <v>41940</v>
      </c>
      <c r="G41" s="2" t="s">
        <v>415</v>
      </c>
      <c r="H41" s="13">
        <f t="shared" si="4"/>
        <v>3</v>
      </c>
      <c r="I41" s="2" t="str">
        <f t="shared" si="0"/>
        <v>Koala Room</v>
      </c>
      <c r="J41" s="2" t="str">
        <f t="shared" si="1"/>
        <v>Kangaroo Room</v>
      </c>
      <c r="K41" s="2">
        <f t="shared" si="5"/>
        <v>3</v>
      </c>
      <c r="L41" s="2" t="str">
        <f t="shared" si="6"/>
        <v>0110111</v>
      </c>
      <c r="M41" s="9">
        <f t="shared" si="7"/>
        <v>7380</v>
      </c>
      <c r="N41" s="9">
        <f t="shared" si="8"/>
        <v>4200</v>
      </c>
      <c r="O41" s="9">
        <f t="shared" si="2"/>
        <v>1615</v>
      </c>
      <c r="P41" s="9">
        <f t="shared" si="3"/>
        <v>3990</v>
      </c>
      <c r="Q41" s="10">
        <f t="shared" si="9"/>
        <v>17185</v>
      </c>
    </row>
    <row r="42" spans="1:17" hidden="1" x14ac:dyDescent="0.8">
      <c r="A42" s="2" t="s">
        <v>421</v>
      </c>
      <c r="B42" s="2" t="s">
        <v>144</v>
      </c>
      <c r="C42" s="2" t="s">
        <v>422</v>
      </c>
      <c r="D42" s="2" t="s">
        <v>45</v>
      </c>
      <c r="E42" s="2" t="s">
        <v>12</v>
      </c>
      <c r="F42" s="14">
        <v>41725</v>
      </c>
      <c r="G42" s="2" t="s">
        <v>423</v>
      </c>
      <c r="H42" s="13">
        <f t="shared" si="4"/>
        <v>3</v>
      </c>
      <c r="I42" s="2" t="str">
        <f t="shared" si="0"/>
        <v>Koala Room</v>
      </c>
      <c r="J42" s="2" t="str">
        <f t="shared" si="1"/>
        <v>Kangaroo Room</v>
      </c>
      <c r="K42" s="2">
        <f t="shared" si="5"/>
        <v>4</v>
      </c>
      <c r="L42" s="2" t="str">
        <f t="shared" si="6"/>
        <v>0011011</v>
      </c>
      <c r="M42" s="9">
        <f t="shared" si="7"/>
        <v>3240</v>
      </c>
      <c r="N42" s="9">
        <f t="shared" si="8"/>
        <v>1200</v>
      </c>
      <c r="O42" s="9">
        <f t="shared" si="2"/>
        <v>9775</v>
      </c>
      <c r="P42" s="9">
        <f t="shared" si="3"/>
        <v>1140</v>
      </c>
      <c r="Q42" s="10">
        <f t="shared" si="9"/>
        <v>15355</v>
      </c>
    </row>
    <row r="43" spans="1:17" hidden="1" x14ac:dyDescent="0.8">
      <c r="A43" s="2" t="s">
        <v>424</v>
      </c>
      <c r="B43" s="2" t="s">
        <v>147</v>
      </c>
      <c r="C43" s="2" t="s">
        <v>425</v>
      </c>
      <c r="D43" s="2" t="s">
        <v>148</v>
      </c>
      <c r="E43" s="2" t="s">
        <v>9</v>
      </c>
      <c r="F43" s="14">
        <v>41748</v>
      </c>
      <c r="G43" s="2" t="s">
        <v>426</v>
      </c>
      <c r="H43" s="13">
        <f t="shared" si="4"/>
        <v>3</v>
      </c>
      <c r="I43" s="2" t="str">
        <f t="shared" si="0"/>
        <v>Koala Room</v>
      </c>
      <c r="J43" s="2" t="str">
        <f t="shared" si="1"/>
        <v>Kangaroo Room</v>
      </c>
      <c r="K43" s="2">
        <f t="shared" si="5"/>
        <v>3</v>
      </c>
      <c r="L43" s="2" t="str">
        <f t="shared" si="6"/>
        <v>0101011</v>
      </c>
      <c r="M43" s="9">
        <f t="shared" si="7"/>
        <v>3870</v>
      </c>
      <c r="N43" s="9">
        <f t="shared" si="8"/>
        <v>0</v>
      </c>
      <c r="O43" s="9">
        <f t="shared" si="2"/>
        <v>8925</v>
      </c>
      <c r="P43" s="9">
        <f t="shared" si="3"/>
        <v>0</v>
      </c>
      <c r="Q43" s="10">
        <f t="shared" si="9"/>
        <v>12795</v>
      </c>
    </row>
    <row r="44" spans="1:17" hidden="1" x14ac:dyDescent="0.8">
      <c r="A44" s="2" t="s">
        <v>427</v>
      </c>
      <c r="B44" s="2" t="s">
        <v>152</v>
      </c>
      <c r="C44" s="2" t="s">
        <v>428</v>
      </c>
      <c r="D44" s="2" t="s">
        <v>153</v>
      </c>
      <c r="E44" s="2" t="s">
        <v>9</v>
      </c>
      <c r="F44" s="14">
        <v>41668</v>
      </c>
      <c r="G44" s="2" t="s">
        <v>429</v>
      </c>
      <c r="H44" s="13">
        <f t="shared" si="4"/>
        <v>3</v>
      </c>
      <c r="I44" s="2" t="str">
        <f t="shared" si="0"/>
        <v>Koala Room</v>
      </c>
      <c r="J44" s="2" t="str">
        <f t="shared" si="1"/>
        <v>Kangaroo Room</v>
      </c>
      <c r="K44" s="2">
        <f t="shared" si="5"/>
        <v>3</v>
      </c>
      <c r="L44" s="2" t="str">
        <f t="shared" si="6"/>
        <v>0111011</v>
      </c>
      <c r="M44" s="9">
        <f t="shared" si="7"/>
        <v>630</v>
      </c>
      <c r="N44" s="9">
        <f t="shared" si="8"/>
        <v>400</v>
      </c>
      <c r="O44" s="9">
        <f t="shared" si="2"/>
        <v>7905</v>
      </c>
      <c r="P44" s="9">
        <f t="shared" si="3"/>
        <v>380</v>
      </c>
      <c r="Q44" s="10">
        <f t="shared" si="9"/>
        <v>9315</v>
      </c>
    </row>
    <row r="45" spans="1:17" hidden="1" x14ac:dyDescent="0.8">
      <c r="A45" s="2" t="s">
        <v>430</v>
      </c>
      <c r="B45" s="2" t="s">
        <v>152</v>
      </c>
      <c r="C45" s="2" t="s">
        <v>304</v>
      </c>
      <c r="D45" s="2" t="s">
        <v>153</v>
      </c>
      <c r="E45" s="2" t="s">
        <v>9</v>
      </c>
      <c r="F45" s="14">
        <v>42482</v>
      </c>
      <c r="G45" s="2" t="s">
        <v>429</v>
      </c>
      <c r="H45" s="13">
        <f t="shared" si="4"/>
        <v>1</v>
      </c>
      <c r="I45" s="2" t="str">
        <f t="shared" ref="I45:I76" si="10">IF(H45&lt;6,VLOOKUP(H45,Rooms,2,TRUE),"NOT ALLOWED")</f>
        <v>Platypus Room</v>
      </c>
      <c r="J45" s="2" t="str">
        <f t="shared" ref="J45:J76" si="11">IF(H45+1&lt;6,VLOOKUP(H45+1,Rooms,2,TRUE),"NOT ALLOWED")</f>
        <v>Emu Room</v>
      </c>
      <c r="K45" s="2">
        <f t="shared" si="5"/>
        <v>3</v>
      </c>
      <c r="L45" s="2" t="str">
        <f t="shared" si="6"/>
        <v>0111011</v>
      </c>
      <c r="M45" s="9">
        <f t="shared" ref="M45:M76" si="12">IF(H45&lt;6,
(NETWORKDAYS.INTL(DATE(2018,1,1),DATE(2018,MONTH(F45),DAY(F45)),L45,Holidays)) *
VLOOKUP(H45,CareCosts,2),
0)</f>
        <v>3080</v>
      </c>
      <c r="N45" s="9">
        <f t="shared" si="8"/>
        <v>1800</v>
      </c>
      <c r="O45" s="9">
        <f t="shared" ref="O45:O76" si="13">IF(H45+1&lt;6,
(NETWORKDAYS.INTL(DATE(2018,MONTH(F45),DAY(F45)),DATE(2018,12,31),L45,Holidays)) *
VLOOKUP(H45+1,CareCosts,2),0)</f>
        <v>7455</v>
      </c>
      <c r="P45" s="9">
        <f t="shared" ref="P45:P76" si="14">IF(H45+1&lt;6,
(NETWORKDAYS.INTL(DATE(2018,1,1),DATE(2018,MONTH(F45),DAY(F45)),IF(ISNUMBER(SEARCH("sat",G45)),"1111101","1111111"),Holidays)) *
(VLOOKUP(H45+1,CareCosts,2)+ SaturdayPenalty),
0)</f>
        <v>1725</v>
      </c>
      <c r="Q45" s="10">
        <f t="shared" si="9"/>
        <v>14060</v>
      </c>
    </row>
    <row r="46" spans="1:17" hidden="1" x14ac:dyDescent="0.8">
      <c r="A46" s="2" t="s">
        <v>431</v>
      </c>
      <c r="B46" s="2" t="s">
        <v>156</v>
      </c>
      <c r="C46" s="2" t="s">
        <v>28</v>
      </c>
      <c r="D46" s="2" t="s">
        <v>157</v>
      </c>
      <c r="E46" s="2" t="s">
        <v>9</v>
      </c>
      <c r="F46" s="14">
        <v>41736</v>
      </c>
      <c r="G46" s="2" t="s">
        <v>432</v>
      </c>
      <c r="H46" s="13">
        <f t="shared" si="4"/>
        <v>3</v>
      </c>
      <c r="I46" s="2" t="str">
        <f t="shared" si="10"/>
        <v>Koala Room</v>
      </c>
      <c r="J46" s="2" t="str">
        <f t="shared" si="11"/>
        <v>Kangaroo Room</v>
      </c>
      <c r="K46" s="2">
        <f t="shared" si="5"/>
        <v>1</v>
      </c>
      <c r="L46" s="2" t="str">
        <f t="shared" si="6"/>
        <v>1111011</v>
      </c>
      <c r="M46" s="9">
        <f t="shared" si="12"/>
        <v>1080</v>
      </c>
      <c r="N46" s="9">
        <f t="shared" ref="N46:N77" si="15">IF(H46&lt;6,
(NETWORKDAYS.INTL(DATE(2018,1,1),DATE(2018,MONTH(F46),DAY(F46)+1),IF(ISNUMBER(SEARCH("sat",G46)),"1111101","1111111"),Holidays)) *
(VLOOKUP(H46,CareCosts,2)+ SaturdayPenalty),
0)</f>
        <v>0</v>
      </c>
      <c r="O46" s="9">
        <f t="shared" si="13"/>
        <v>3230</v>
      </c>
      <c r="P46" s="9">
        <f t="shared" si="14"/>
        <v>0</v>
      </c>
      <c r="Q46" s="10">
        <f t="shared" si="9"/>
        <v>4310</v>
      </c>
    </row>
    <row r="47" spans="1:17" hidden="1" x14ac:dyDescent="0.8">
      <c r="A47" s="2" t="s">
        <v>433</v>
      </c>
      <c r="B47" s="2" t="s">
        <v>159</v>
      </c>
      <c r="C47" s="2" t="s">
        <v>21</v>
      </c>
      <c r="D47" s="2" t="s">
        <v>160</v>
      </c>
      <c r="E47" s="2" t="s">
        <v>9</v>
      </c>
      <c r="F47" s="14">
        <v>42299</v>
      </c>
      <c r="G47" s="2" t="s">
        <v>429</v>
      </c>
      <c r="H47" s="13">
        <f t="shared" si="4"/>
        <v>2</v>
      </c>
      <c r="I47" s="2" t="str">
        <f t="shared" si="10"/>
        <v>Emu Room</v>
      </c>
      <c r="J47" s="2" t="str">
        <f t="shared" si="11"/>
        <v>Koala Room</v>
      </c>
      <c r="K47" s="2">
        <f t="shared" si="5"/>
        <v>3</v>
      </c>
      <c r="L47" s="2" t="str">
        <f t="shared" si="6"/>
        <v>0111011</v>
      </c>
      <c r="M47" s="9">
        <f t="shared" si="12"/>
        <v>8295</v>
      </c>
      <c r="N47" s="9">
        <f t="shared" si="15"/>
        <v>4715</v>
      </c>
      <c r="O47" s="9">
        <f t="shared" si="13"/>
        <v>1890</v>
      </c>
      <c r="P47" s="9">
        <f t="shared" si="14"/>
        <v>4100</v>
      </c>
      <c r="Q47" s="10">
        <f t="shared" si="9"/>
        <v>19000</v>
      </c>
    </row>
    <row r="48" spans="1:17" hidden="1" x14ac:dyDescent="0.8">
      <c r="A48" s="2" t="s">
        <v>434</v>
      </c>
      <c r="B48" s="2" t="s">
        <v>159</v>
      </c>
      <c r="C48" s="2" t="s">
        <v>435</v>
      </c>
      <c r="D48" s="2" t="s">
        <v>160</v>
      </c>
      <c r="E48" s="2" t="s">
        <v>9</v>
      </c>
      <c r="F48" s="14">
        <v>42299</v>
      </c>
      <c r="G48" s="2" t="s">
        <v>429</v>
      </c>
      <c r="H48" s="13">
        <f t="shared" si="4"/>
        <v>2</v>
      </c>
      <c r="I48" s="2" t="str">
        <f t="shared" si="10"/>
        <v>Emu Room</v>
      </c>
      <c r="J48" s="2" t="str">
        <f t="shared" si="11"/>
        <v>Koala Room</v>
      </c>
      <c r="K48" s="2">
        <f t="shared" si="5"/>
        <v>3</v>
      </c>
      <c r="L48" s="2" t="str">
        <f t="shared" si="6"/>
        <v>0111011</v>
      </c>
      <c r="M48" s="9">
        <f t="shared" si="12"/>
        <v>8295</v>
      </c>
      <c r="N48" s="9">
        <f t="shared" si="15"/>
        <v>4715</v>
      </c>
      <c r="O48" s="9">
        <f t="shared" si="13"/>
        <v>1890</v>
      </c>
      <c r="P48" s="9">
        <f t="shared" si="14"/>
        <v>4100</v>
      </c>
      <c r="Q48" s="10">
        <f t="shared" si="9"/>
        <v>19000</v>
      </c>
    </row>
    <row r="49" spans="1:17" hidden="1" x14ac:dyDescent="0.8">
      <c r="A49" s="2" t="s">
        <v>436</v>
      </c>
      <c r="B49" s="2" t="s">
        <v>162</v>
      </c>
      <c r="C49" s="2" t="s">
        <v>437</v>
      </c>
      <c r="D49" s="2" t="s">
        <v>163</v>
      </c>
      <c r="E49" s="2" t="s">
        <v>12</v>
      </c>
      <c r="F49" s="14">
        <v>41421</v>
      </c>
      <c r="G49" s="2" t="s">
        <v>438</v>
      </c>
      <c r="H49" s="13">
        <f t="shared" si="4"/>
        <v>4</v>
      </c>
      <c r="I49" s="2" t="str">
        <f t="shared" si="10"/>
        <v>Kangaroo Room</v>
      </c>
      <c r="J49" s="2" t="str">
        <f t="shared" si="11"/>
        <v>Kangaroo Room</v>
      </c>
      <c r="K49" s="2">
        <f t="shared" si="5"/>
        <v>3</v>
      </c>
      <c r="L49" s="2" t="str">
        <f t="shared" si="6"/>
        <v>0011011</v>
      </c>
      <c r="M49" s="9">
        <f t="shared" si="12"/>
        <v>4930</v>
      </c>
      <c r="N49" s="9">
        <f t="shared" si="15"/>
        <v>0</v>
      </c>
      <c r="O49" s="9">
        <f t="shared" si="13"/>
        <v>7360</v>
      </c>
      <c r="P49" s="9">
        <f t="shared" si="14"/>
        <v>0</v>
      </c>
      <c r="Q49" s="10">
        <f t="shared" si="9"/>
        <v>12290</v>
      </c>
    </row>
    <row r="50" spans="1:17" hidden="1" x14ac:dyDescent="0.8">
      <c r="A50" s="2" t="s">
        <v>439</v>
      </c>
      <c r="B50" s="2" t="s">
        <v>162</v>
      </c>
      <c r="C50" s="2" t="s">
        <v>440</v>
      </c>
      <c r="D50" s="2" t="s">
        <v>163</v>
      </c>
      <c r="E50" s="2" t="s">
        <v>12</v>
      </c>
      <c r="F50" s="14">
        <v>42197</v>
      </c>
      <c r="G50" s="2" t="s">
        <v>438</v>
      </c>
      <c r="H50" s="13">
        <f t="shared" si="4"/>
        <v>2</v>
      </c>
      <c r="I50" s="2" t="str">
        <f t="shared" si="10"/>
        <v>Emu Room</v>
      </c>
      <c r="J50" s="2" t="str">
        <f t="shared" si="11"/>
        <v>Koala Room</v>
      </c>
      <c r="K50" s="2">
        <f t="shared" si="5"/>
        <v>3</v>
      </c>
      <c r="L50" s="2" t="str">
        <f t="shared" si="6"/>
        <v>0011011</v>
      </c>
      <c r="M50" s="9">
        <f t="shared" si="12"/>
        <v>8190</v>
      </c>
      <c r="N50" s="9">
        <f t="shared" si="15"/>
        <v>0</v>
      </c>
      <c r="O50" s="9">
        <f t="shared" si="13"/>
        <v>6480</v>
      </c>
      <c r="P50" s="9">
        <f t="shared" si="14"/>
        <v>0</v>
      </c>
      <c r="Q50" s="10">
        <f t="shared" si="9"/>
        <v>14670</v>
      </c>
    </row>
    <row r="51" spans="1:17" hidden="1" x14ac:dyDescent="0.8">
      <c r="A51" s="2" t="s">
        <v>441</v>
      </c>
      <c r="B51" s="2" t="s">
        <v>166</v>
      </c>
      <c r="C51" s="2" t="s">
        <v>442</v>
      </c>
      <c r="D51" s="2" t="s">
        <v>167</v>
      </c>
      <c r="E51" s="2" t="s">
        <v>12</v>
      </c>
      <c r="F51" s="14">
        <v>41399</v>
      </c>
      <c r="G51" s="2" t="s">
        <v>423</v>
      </c>
      <c r="H51" s="13">
        <f t="shared" si="4"/>
        <v>4</v>
      </c>
      <c r="I51" s="2" t="str">
        <f t="shared" si="10"/>
        <v>Kangaroo Room</v>
      </c>
      <c r="J51" s="2" t="str">
        <f t="shared" si="11"/>
        <v>Kangaroo Room</v>
      </c>
      <c r="K51" s="2">
        <f t="shared" si="5"/>
        <v>4</v>
      </c>
      <c r="L51" s="2" t="str">
        <f t="shared" si="6"/>
        <v>0011011</v>
      </c>
      <c r="M51" s="9">
        <f t="shared" si="12"/>
        <v>4250</v>
      </c>
      <c r="N51" s="9">
        <f t="shared" si="15"/>
        <v>1615</v>
      </c>
      <c r="O51" s="9">
        <f t="shared" si="13"/>
        <v>8000</v>
      </c>
      <c r="P51" s="9">
        <f t="shared" si="14"/>
        <v>1530</v>
      </c>
      <c r="Q51" s="10">
        <f t="shared" si="9"/>
        <v>15395</v>
      </c>
    </row>
    <row r="52" spans="1:17" hidden="1" x14ac:dyDescent="0.8">
      <c r="A52" s="2" t="s">
        <v>443</v>
      </c>
      <c r="B52" s="2" t="s">
        <v>166</v>
      </c>
      <c r="C52" s="2" t="s">
        <v>444</v>
      </c>
      <c r="D52" s="2" t="s">
        <v>167</v>
      </c>
      <c r="E52" s="2" t="s">
        <v>9</v>
      </c>
      <c r="F52" s="14">
        <v>42363</v>
      </c>
      <c r="G52" s="2" t="s">
        <v>423</v>
      </c>
      <c r="H52" s="13">
        <f t="shared" si="4"/>
        <v>2</v>
      </c>
      <c r="I52" s="2" t="str">
        <f t="shared" si="10"/>
        <v>Emu Room</v>
      </c>
      <c r="J52" s="2" t="str">
        <f t="shared" si="11"/>
        <v>Koala Room</v>
      </c>
      <c r="K52" s="2">
        <f t="shared" si="5"/>
        <v>4</v>
      </c>
      <c r="L52" s="2" t="str">
        <f t="shared" si="6"/>
        <v>0011011</v>
      </c>
      <c r="M52" s="9">
        <f t="shared" si="12"/>
        <v>15540</v>
      </c>
      <c r="N52" s="9">
        <f t="shared" si="15"/>
        <v>5750</v>
      </c>
      <c r="O52" s="9">
        <f t="shared" si="13"/>
        <v>180</v>
      </c>
      <c r="P52" s="9">
        <f t="shared" si="14"/>
        <v>5000</v>
      </c>
      <c r="Q52" s="10">
        <f t="shared" si="9"/>
        <v>26470</v>
      </c>
    </row>
    <row r="53" spans="1:17" hidden="1" x14ac:dyDescent="0.8">
      <c r="A53" s="2" t="s">
        <v>445</v>
      </c>
      <c r="B53" s="2" t="s">
        <v>166</v>
      </c>
      <c r="C53" s="2" t="s">
        <v>446</v>
      </c>
      <c r="D53" s="2" t="s">
        <v>167</v>
      </c>
      <c r="E53" s="2" t="s">
        <v>12</v>
      </c>
      <c r="F53" s="14">
        <v>42868</v>
      </c>
      <c r="G53" s="2" t="s">
        <v>423</v>
      </c>
      <c r="H53" s="13">
        <f t="shared" si="4"/>
        <v>0</v>
      </c>
      <c r="I53" s="2" t="str">
        <f t="shared" si="10"/>
        <v>Platypus Room</v>
      </c>
      <c r="J53" s="2" t="str">
        <f t="shared" si="11"/>
        <v>Platypus Room</v>
      </c>
      <c r="K53" s="2">
        <f t="shared" si="5"/>
        <v>4</v>
      </c>
      <c r="L53" s="2" t="str">
        <f t="shared" si="6"/>
        <v>0011011</v>
      </c>
      <c r="M53" s="9">
        <f t="shared" si="12"/>
        <v>6240</v>
      </c>
      <c r="N53" s="9">
        <f t="shared" si="15"/>
        <v>2340</v>
      </c>
      <c r="O53" s="9">
        <f t="shared" si="13"/>
        <v>10780</v>
      </c>
      <c r="P53" s="9">
        <f t="shared" si="14"/>
        <v>2160</v>
      </c>
      <c r="Q53" s="10">
        <f t="shared" si="9"/>
        <v>21520</v>
      </c>
    </row>
    <row r="54" spans="1:17" hidden="1" x14ac:dyDescent="0.8">
      <c r="A54" s="2" t="s">
        <v>447</v>
      </c>
      <c r="B54" s="2" t="s">
        <v>169</v>
      </c>
      <c r="C54" s="2" t="s">
        <v>448</v>
      </c>
      <c r="D54" s="2" t="s">
        <v>170</v>
      </c>
      <c r="E54" s="2" t="s">
        <v>12</v>
      </c>
      <c r="F54" s="14">
        <v>41806</v>
      </c>
      <c r="G54" s="2" t="s">
        <v>380</v>
      </c>
      <c r="H54" s="13">
        <f t="shared" si="4"/>
        <v>3</v>
      </c>
      <c r="I54" s="2" t="str">
        <f t="shared" si="10"/>
        <v>Koala Room</v>
      </c>
      <c r="J54" s="2" t="str">
        <f t="shared" si="11"/>
        <v>Kangaroo Room</v>
      </c>
      <c r="K54" s="2">
        <f t="shared" si="5"/>
        <v>4</v>
      </c>
      <c r="L54" s="2" t="str">
        <f t="shared" si="6"/>
        <v>0001111</v>
      </c>
      <c r="M54" s="9">
        <f t="shared" si="12"/>
        <v>6120</v>
      </c>
      <c r="N54" s="9">
        <f t="shared" si="15"/>
        <v>2300</v>
      </c>
      <c r="O54" s="9">
        <f t="shared" si="13"/>
        <v>6885</v>
      </c>
      <c r="P54" s="9">
        <f t="shared" si="14"/>
        <v>2185</v>
      </c>
      <c r="Q54" s="10">
        <f t="shared" si="9"/>
        <v>17490</v>
      </c>
    </row>
    <row r="55" spans="1:17" hidden="1" x14ac:dyDescent="0.8">
      <c r="A55" s="2" t="s">
        <v>449</v>
      </c>
      <c r="B55" s="2" t="s">
        <v>169</v>
      </c>
      <c r="C55" s="2" t="s">
        <v>43</v>
      </c>
      <c r="D55" s="2" t="s">
        <v>170</v>
      </c>
      <c r="E55" s="2" t="s">
        <v>12</v>
      </c>
      <c r="F55" s="14">
        <v>41806</v>
      </c>
      <c r="G55" s="2" t="s">
        <v>380</v>
      </c>
      <c r="H55" s="13">
        <f t="shared" si="4"/>
        <v>3</v>
      </c>
      <c r="I55" s="2" t="str">
        <f t="shared" si="10"/>
        <v>Koala Room</v>
      </c>
      <c r="J55" s="2" t="str">
        <f t="shared" si="11"/>
        <v>Kangaroo Room</v>
      </c>
      <c r="K55" s="2">
        <f t="shared" si="5"/>
        <v>4</v>
      </c>
      <c r="L55" s="2" t="str">
        <f t="shared" si="6"/>
        <v>0001111</v>
      </c>
      <c r="M55" s="9">
        <f t="shared" si="12"/>
        <v>6120</v>
      </c>
      <c r="N55" s="9">
        <f t="shared" si="15"/>
        <v>2300</v>
      </c>
      <c r="O55" s="9">
        <f t="shared" si="13"/>
        <v>6885</v>
      </c>
      <c r="P55" s="9">
        <f t="shared" si="14"/>
        <v>2185</v>
      </c>
      <c r="Q55" s="10">
        <f t="shared" si="9"/>
        <v>17490</v>
      </c>
    </row>
    <row r="56" spans="1:17" hidden="1" x14ac:dyDescent="0.8">
      <c r="A56" s="2" t="s">
        <v>450</v>
      </c>
      <c r="B56" s="2" t="s">
        <v>173</v>
      </c>
      <c r="C56" s="2" t="s">
        <v>451</v>
      </c>
      <c r="D56" s="2" t="s">
        <v>174</v>
      </c>
      <c r="E56" s="2" t="s">
        <v>9</v>
      </c>
      <c r="F56" s="14">
        <v>41467</v>
      </c>
      <c r="G56" s="2" t="s">
        <v>452</v>
      </c>
      <c r="H56" s="13">
        <f t="shared" si="4"/>
        <v>4</v>
      </c>
      <c r="I56" s="2" t="str">
        <f t="shared" si="10"/>
        <v>Kangaroo Room</v>
      </c>
      <c r="J56" s="2" t="str">
        <f t="shared" si="11"/>
        <v>Kangaroo Room</v>
      </c>
      <c r="K56" s="2">
        <f t="shared" si="5"/>
        <v>4</v>
      </c>
      <c r="L56" s="2" t="str">
        <f t="shared" si="6"/>
        <v>1000011</v>
      </c>
      <c r="M56" s="9">
        <f t="shared" si="12"/>
        <v>9180</v>
      </c>
      <c r="N56" s="9">
        <f t="shared" si="15"/>
        <v>0</v>
      </c>
      <c r="O56" s="9">
        <f t="shared" si="13"/>
        <v>7600</v>
      </c>
      <c r="P56" s="9">
        <f t="shared" si="14"/>
        <v>0</v>
      </c>
      <c r="Q56" s="10">
        <f t="shared" si="9"/>
        <v>16780</v>
      </c>
    </row>
    <row r="57" spans="1:17" hidden="1" x14ac:dyDescent="0.8">
      <c r="A57" s="2" t="s">
        <v>453</v>
      </c>
      <c r="B57" s="2" t="s">
        <v>173</v>
      </c>
      <c r="C57" s="2" t="s">
        <v>454</v>
      </c>
      <c r="D57" s="2" t="s">
        <v>174</v>
      </c>
      <c r="E57" s="2" t="s">
        <v>12</v>
      </c>
      <c r="F57" s="14">
        <v>42349</v>
      </c>
      <c r="G57" s="2" t="s">
        <v>452</v>
      </c>
      <c r="H57" s="13">
        <f t="shared" si="4"/>
        <v>2</v>
      </c>
      <c r="I57" s="2" t="str">
        <f t="shared" si="10"/>
        <v>Emu Room</v>
      </c>
      <c r="J57" s="2" t="str">
        <f t="shared" si="11"/>
        <v>Koala Room</v>
      </c>
      <c r="K57" s="2">
        <f t="shared" si="5"/>
        <v>4</v>
      </c>
      <c r="L57" s="2" t="str">
        <f t="shared" si="6"/>
        <v>1000011</v>
      </c>
      <c r="M57" s="9">
        <f t="shared" si="12"/>
        <v>20265</v>
      </c>
      <c r="N57" s="9">
        <f t="shared" si="15"/>
        <v>0</v>
      </c>
      <c r="O57" s="9">
        <f t="shared" si="13"/>
        <v>900</v>
      </c>
      <c r="P57" s="9">
        <f t="shared" si="14"/>
        <v>0</v>
      </c>
      <c r="Q57" s="10">
        <f t="shared" si="9"/>
        <v>21165</v>
      </c>
    </row>
    <row r="58" spans="1:17" hidden="1" x14ac:dyDescent="0.8">
      <c r="A58" s="2" t="s">
        <v>455</v>
      </c>
      <c r="B58" s="2" t="s">
        <v>176</v>
      </c>
      <c r="C58" s="2" t="s">
        <v>456</v>
      </c>
      <c r="D58" s="2" t="s">
        <v>177</v>
      </c>
      <c r="E58" s="2" t="s">
        <v>9</v>
      </c>
      <c r="F58" s="14">
        <v>42167</v>
      </c>
      <c r="G58" s="2" t="s">
        <v>429</v>
      </c>
      <c r="H58" s="13">
        <f t="shared" si="4"/>
        <v>2</v>
      </c>
      <c r="I58" s="2" t="str">
        <f t="shared" si="10"/>
        <v>Emu Room</v>
      </c>
      <c r="J58" s="2" t="str">
        <f t="shared" si="11"/>
        <v>Koala Room</v>
      </c>
      <c r="K58" s="2">
        <f t="shared" si="5"/>
        <v>3</v>
      </c>
      <c r="L58" s="2" t="str">
        <f t="shared" si="6"/>
        <v>0111011</v>
      </c>
      <c r="M58" s="9">
        <f t="shared" si="12"/>
        <v>4410</v>
      </c>
      <c r="N58" s="9">
        <f t="shared" si="15"/>
        <v>2530</v>
      </c>
      <c r="O58" s="9">
        <f t="shared" si="13"/>
        <v>5130</v>
      </c>
      <c r="P58" s="9">
        <f t="shared" si="14"/>
        <v>2200</v>
      </c>
      <c r="Q58" s="10">
        <f t="shared" si="9"/>
        <v>14270</v>
      </c>
    </row>
    <row r="59" spans="1:17" hidden="1" x14ac:dyDescent="0.8">
      <c r="A59" s="2" t="s">
        <v>457</v>
      </c>
      <c r="B59" s="2" t="s">
        <v>180</v>
      </c>
      <c r="C59" s="2" t="s">
        <v>458</v>
      </c>
      <c r="D59" s="2" t="s">
        <v>181</v>
      </c>
      <c r="E59" s="2" t="s">
        <v>9</v>
      </c>
      <c r="F59" s="14">
        <v>42765</v>
      </c>
      <c r="G59" s="2" t="s">
        <v>386</v>
      </c>
      <c r="H59" s="13">
        <f t="shared" si="4"/>
        <v>0</v>
      </c>
      <c r="I59" s="2" t="str">
        <f t="shared" si="10"/>
        <v>Platypus Room</v>
      </c>
      <c r="J59" s="2" t="str">
        <f t="shared" si="11"/>
        <v>Platypus Room</v>
      </c>
      <c r="K59" s="2">
        <f t="shared" si="5"/>
        <v>3</v>
      </c>
      <c r="L59" s="2" t="str">
        <f t="shared" si="6"/>
        <v>0110011</v>
      </c>
      <c r="M59" s="9">
        <f t="shared" si="12"/>
        <v>1320</v>
      </c>
      <c r="N59" s="9">
        <f t="shared" si="15"/>
        <v>0</v>
      </c>
      <c r="O59" s="9">
        <f t="shared" si="13"/>
        <v>15400</v>
      </c>
      <c r="P59" s="9">
        <f t="shared" si="14"/>
        <v>0</v>
      </c>
      <c r="Q59" s="10">
        <f t="shared" si="9"/>
        <v>16720</v>
      </c>
    </row>
    <row r="60" spans="1:17" x14ac:dyDescent="0.8">
      <c r="A60" s="2" t="s">
        <v>459</v>
      </c>
      <c r="B60" s="2" t="s">
        <v>184</v>
      </c>
      <c r="C60" s="2" t="s">
        <v>460</v>
      </c>
      <c r="D60" s="2" t="s">
        <v>185</v>
      </c>
      <c r="E60" s="2" t="s">
        <v>12</v>
      </c>
      <c r="F60" s="14">
        <v>41707</v>
      </c>
      <c r="G60" s="2" t="s">
        <v>378</v>
      </c>
      <c r="H60" s="13">
        <f t="shared" si="4"/>
        <v>3</v>
      </c>
      <c r="I60" s="2" t="str">
        <f t="shared" si="10"/>
        <v>Koala Room</v>
      </c>
      <c r="J60" s="2" t="str">
        <f t="shared" si="11"/>
        <v>Kangaroo Room</v>
      </c>
      <c r="K60" s="2">
        <f t="shared" si="5"/>
        <v>5</v>
      </c>
      <c r="L60" s="2" t="str">
        <f t="shared" si="6"/>
        <v>1000011</v>
      </c>
      <c r="M60" s="9">
        <f t="shared" si="12"/>
        <v>3510</v>
      </c>
      <c r="N60" s="9">
        <f t="shared" si="15"/>
        <v>1000</v>
      </c>
      <c r="O60" s="9">
        <f t="shared" si="13"/>
        <v>13940</v>
      </c>
      <c r="P60" s="9">
        <f t="shared" si="14"/>
        <v>855</v>
      </c>
      <c r="Q60" s="10">
        <f t="shared" si="9"/>
        <v>19305</v>
      </c>
    </row>
    <row r="61" spans="1:17" x14ac:dyDescent="0.8">
      <c r="A61" s="2" t="s">
        <v>461</v>
      </c>
      <c r="B61" s="2" t="s">
        <v>187</v>
      </c>
      <c r="C61" s="2" t="s">
        <v>192</v>
      </c>
      <c r="D61" s="2" t="s">
        <v>188</v>
      </c>
      <c r="E61" s="2" t="s">
        <v>12</v>
      </c>
      <c r="F61" s="14">
        <v>41534</v>
      </c>
      <c r="G61" s="2" t="s">
        <v>378</v>
      </c>
      <c r="H61" s="13">
        <f t="shared" si="4"/>
        <v>4</v>
      </c>
      <c r="I61" s="2" t="str">
        <f t="shared" si="10"/>
        <v>Kangaroo Room</v>
      </c>
      <c r="J61" s="2" t="str">
        <f t="shared" si="11"/>
        <v>Kangaroo Room</v>
      </c>
      <c r="K61" s="2">
        <f t="shared" si="5"/>
        <v>5</v>
      </c>
      <c r="L61" s="2" t="str">
        <f t="shared" si="6"/>
        <v>1000011</v>
      </c>
      <c r="M61" s="9">
        <f t="shared" si="12"/>
        <v>12240</v>
      </c>
      <c r="N61" s="9">
        <f t="shared" si="15"/>
        <v>3420</v>
      </c>
      <c r="O61" s="9">
        <f t="shared" si="13"/>
        <v>4640</v>
      </c>
      <c r="P61" s="9">
        <f t="shared" si="14"/>
        <v>3240</v>
      </c>
      <c r="Q61" s="10">
        <f t="shared" si="9"/>
        <v>23540</v>
      </c>
    </row>
    <row r="62" spans="1:17" x14ac:dyDescent="0.8">
      <c r="A62" s="2" t="s">
        <v>462</v>
      </c>
      <c r="B62" s="2" t="s">
        <v>187</v>
      </c>
      <c r="C62" s="2" t="s">
        <v>211</v>
      </c>
      <c r="D62" s="2" t="s">
        <v>188</v>
      </c>
      <c r="E62" s="2" t="s">
        <v>9</v>
      </c>
      <c r="F62" s="14">
        <v>42174</v>
      </c>
      <c r="G62" s="2" t="s">
        <v>378</v>
      </c>
      <c r="H62" s="13">
        <f t="shared" si="4"/>
        <v>2</v>
      </c>
      <c r="I62" s="2" t="str">
        <f t="shared" si="10"/>
        <v>Emu Room</v>
      </c>
      <c r="J62" s="2" t="str">
        <f t="shared" si="11"/>
        <v>Koala Room</v>
      </c>
      <c r="K62" s="2">
        <f t="shared" si="5"/>
        <v>5</v>
      </c>
      <c r="L62" s="2" t="str">
        <f t="shared" si="6"/>
        <v>1000011</v>
      </c>
      <c r="M62" s="9">
        <f t="shared" si="12"/>
        <v>9870</v>
      </c>
      <c r="N62" s="9">
        <f t="shared" si="15"/>
        <v>2645</v>
      </c>
      <c r="O62" s="9">
        <f t="shared" si="13"/>
        <v>9810</v>
      </c>
      <c r="P62" s="9">
        <f t="shared" si="14"/>
        <v>2300</v>
      </c>
      <c r="Q62" s="10">
        <f t="shared" si="9"/>
        <v>24625</v>
      </c>
    </row>
    <row r="63" spans="1:17" x14ac:dyDescent="0.8">
      <c r="A63" s="2" t="s">
        <v>463</v>
      </c>
      <c r="B63" s="2" t="s">
        <v>190</v>
      </c>
      <c r="C63" s="2" t="s">
        <v>464</v>
      </c>
      <c r="D63" s="2" t="s">
        <v>191</v>
      </c>
      <c r="E63" s="2" t="s">
        <v>12</v>
      </c>
      <c r="F63" s="14">
        <v>41309</v>
      </c>
      <c r="G63" s="2" t="s">
        <v>465</v>
      </c>
      <c r="H63" s="13">
        <f t="shared" si="4"/>
        <v>4</v>
      </c>
      <c r="I63" s="2" t="str">
        <f t="shared" si="10"/>
        <v>Kangaroo Room</v>
      </c>
      <c r="J63" s="2" t="str">
        <f t="shared" si="11"/>
        <v>Kangaroo Room</v>
      </c>
      <c r="K63" s="2">
        <f t="shared" si="5"/>
        <v>5</v>
      </c>
      <c r="L63" s="2" t="str">
        <f t="shared" si="6"/>
        <v>0000011</v>
      </c>
      <c r="M63" s="9">
        <f t="shared" si="12"/>
        <v>1955</v>
      </c>
      <c r="N63" s="9">
        <f t="shared" si="15"/>
        <v>0</v>
      </c>
      <c r="O63" s="9">
        <f t="shared" si="13"/>
        <v>18240</v>
      </c>
      <c r="P63" s="9">
        <f t="shared" si="14"/>
        <v>0</v>
      </c>
      <c r="Q63" s="10">
        <f t="shared" si="9"/>
        <v>20195</v>
      </c>
    </row>
    <row r="64" spans="1:17" x14ac:dyDescent="0.8">
      <c r="A64" s="2" t="s">
        <v>466</v>
      </c>
      <c r="B64" s="2" t="s">
        <v>190</v>
      </c>
      <c r="C64" s="2" t="s">
        <v>467</v>
      </c>
      <c r="D64" s="2" t="s">
        <v>191</v>
      </c>
      <c r="E64" s="2" t="s">
        <v>12</v>
      </c>
      <c r="F64" s="14">
        <v>42061</v>
      </c>
      <c r="G64" s="2" t="s">
        <v>465</v>
      </c>
      <c r="H64" s="13">
        <f t="shared" si="4"/>
        <v>2</v>
      </c>
      <c r="I64" s="2" t="str">
        <f t="shared" si="10"/>
        <v>Emu Room</v>
      </c>
      <c r="J64" s="2" t="str">
        <f t="shared" si="11"/>
        <v>Koala Room</v>
      </c>
      <c r="K64" s="2">
        <f t="shared" si="5"/>
        <v>5</v>
      </c>
      <c r="L64" s="2" t="str">
        <f t="shared" si="6"/>
        <v>0000011</v>
      </c>
      <c r="M64" s="9">
        <f t="shared" si="12"/>
        <v>4095</v>
      </c>
      <c r="N64" s="9">
        <f t="shared" si="15"/>
        <v>0</v>
      </c>
      <c r="O64" s="9">
        <f t="shared" si="13"/>
        <v>19170</v>
      </c>
      <c r="P64" s="9">
        <f t="shared" si="14"/>
        <v>0</v>
      </c>
      <c r="Q64" s="10">
        <f t="shared" si="9"/>
        <v>23265</v>
      </c>
    </row>
    <row r="65" spans="1:17" hidden="1" x14ac:dyDescent="0.8">
      <c r="A65" s="2" t="s">
        <v>468</v>
      </c>
      <c r="B65" s="2" t="s">
        <v>195</v>
      </c>
      <c r="C65" s="2" t="s">
        <v>469</v>
      </c>
      <c r="D65" s="2" t="s">
        <v>196</v>
      </c>
      <c r="E65" s="2" t="s">
        <v>9</v>
      </c>
      <c r="F65" s="14">
        <v>41289</v>
      </c>
      <c r="G65" s="2" t="s">
        <v>470</v>
      </c>
      <c r="H65" s="13">
        <f t="shared" si="4"/>
        <v>4</v>
      </c>
      <c r="I65" s="2" t="str">
        <f t="shared" si="10"/>
        <v>Kangaroo Room</v>
      </c>
      <c r="J65" s="2" t="str">
        <f t="shared" si="11"/>
        <v>Kangaroo Room</v>
      </c>
      <c r="K65" s="2">
        <f t="shared" si="5"/>
        <v>4</v>
      </c>
      <c r="L65" s="2" t="str">
        <f t="shared" si="6"/>
        <v>0001011</v>
      </c>
      <c r="M65" s="9">
        <f t="shared" si="12"/>
        <v>680</v>
      </c>
      <c r="N65" s="9">
        <f t="shared" si="15"/>
        <v>0</v>
      </c>
      <c r="O65" s="9">
        <f t="shared" si="13"/>
        <v>15360</v>
      </c>
      <c r="P65" s="9">
        <f t="shared" si="14"/>
        <v>0</v>
      </c>
      <c r="Q65" s="10">
        <f t="shared" si="9"/>
        <v>16040</v>
      </c>
    </row>
    <row r="66" spans="1:17" hidden="1" x14ac:dyDescent="0.8">
      <c r="A66" s="2" t="s">
        <v>471</v>
      </c>
      <c r="B66" s="2" t="s">
        <v>195</v>
      </c>
      <c r="C66" s="2" t="s">
        <v>472</v>
      </c>
      <c r="D66" s="2" t="s">
        <v>196</v>
      </c>
      <c r="E66" s="2" t="s">
        <v>9</v>
      </c>
      <c r="F66" s="14">
        <v>41923</v>
      </c>
      <c r="G66" s="2" t="s">
        <v>470</v>
      </c>
      <c r="H66" s="13">
        <f t="shared" si="4"/>
        <v>3</v>
      </c>
      <c r="I66" s="2" t="str">
        <f t="shared" si="10"/>
        <v>Koala Room</v>
      </c>
      <c r="J66" s="2" t="str">
        <f t="shared" si="11"/>
        <v>Kangaroo Room</v>
      </c>
      <c r="K66" s="2">
        <f t="shared" si="5"/>
        <v>4</v>
      </c>
      <c r="L66" s="2" t="str">
        <f t="shared" si="6"/>
        <v>0001011</v>
      </c>
      <c r="M66" s="9">
        <f t="shared" si="12"/>
        <v>13950</v>
      </c>
      <c r="N66" s="9">
        <f t="shared" si="15"/>
        <v>0</v>
      </c>
      <c r="O66" s="9">
        <f t="shared" si="13"/>
        <v>3740</v>
      </c>
      <c r="P66" s="9">
        <f t="shared" si="14"/>
        <v>0</v>
      </c>
      <c r="Q66" s="10">
        <f t="shared" si="9"/>
        <v>17690</v>
      </c>
    </row>
    <row r="67" spans="1:17" hidden="1" x14ac:dyDescent="0.8">
      <c r="A67" s="2" t="s">
        <v>473</v>
      </c>
      <c r="B67" s="2" t="s">
        <v>195</v>
      </c>
      <c r="C67" s="2" t="s">
        <v>474</v>
      </c>
      <c r="D67" s="2" t="s">
        <v>196</v>
      </c>
      <c r="E67" s="2" t="s">
        <v>12</v>
      </c>
      <c r="F67" s="14">
        <v>42328</v>
      </c>
      <c r="G67" s="2" t="s">
        <v>470</v>
      </c>
      <c r="H67" s="13">
        <f t="shared" si="4"/>
        <v>2</v>
      </c>
      <c r="I67" s="2" t="str">
        <f t="shared" si="10"/>
        <v>Emu Room</v>
      </c>
      <c r="J67" s="2" t="str">
        <f t="shared" si="11"/>
        <v>Koala Room</v>
      </c>
      <c r="K67" s="2">
        <f t="shared" si="5"/>
        <v>4</v>
      </c>
      <c r="L67" s="2" t="str">
        <f t="shared" si="6"/>
        <v>0001011</v>
      </c>
      <c r="M67" s="9">
        <f t="shared" si="12"/>
        <v>18690</v>
      </c>
      <c r="N67" s="9">
        <f t="shared" si="15"/>
        <v>0</v>
      </c>
      <c r="O67" s="9">
        <f t="shared" si="13"/>
        <v>1980</v>
      </c>
      <c r="P67" s="9">
        <f t="shared" si="14"/>
        <v>0</v>
      </c>
      <c r="Q67" s="10">
        <f t="shared" si="9"/>
        <v>20670</v>
      </c>
    </row>
    <row r="68" spans="1:17" hidden="1" x14ac:dyDescent="0.8">
      <c r="A68" s="2" t="s">
        <v>475</v>
      </c>
      <c r="B68" s="2" t="s">
        <v>195</v>
      </c>
      <c r="C68" s="2" t="s">
        <v>476</v>
      </c>
      <c r="D68" s="2" t="s">
        <v>196</v>
      </c>
      <c r="E68" s="2" t="s">
        <v>9</v>
      </c>
      <c r="F68" s="14">
        <v>42944</v>
      </c>
      <c r="G68" s="2" t="s">
        <v>470</v>
      </c>
      <c r="H68" s="13">
        <f t="shared" si="4"/>
        <v>0</v>
      </c>
      <c r="I68" s="2" t="str">
        <f t="shared" si="10"/>
        <v>Platypus Room</v>
      </c>
      <c r="J68" s="2" t="str">
        <f t="shared" si="11"/>
        <v>Platypus Room</v>
      </c>
      <c r="K68" s="2">
        <f t="shared" si="5"/>
        <v>4</v>
      </c>
      <c r="L68" s="2" t="str">
        <f t="shared" si="6"/>
        <v>0001011</v>
      </c>
      <c r="M68" s="9">
        <f t="shared" si="12"/>
        <v>13680</v>
      </c>
      <c r="N68" s="9">
        <f t="shared" si="15"/>
        <v>0</v>
      </c>
      <c r="O68" s="9">
        <f t="shared" si="13"/>
        <v>9350</v>
      </c>
      <c r="P68" s="9">
        <f t="shared" si="14"/>
        <v>0</v>
      </c>
      <c r="Q68" s="10">
        <f t="shared" si="9"/>
        <v>23030</v>
      </c>
    </row>
    <row r="69" spans="1:17" hidden="1" x14ac:dyDescent="0.8">
      <c r="A69" s="2" t="s">
        <v>477</v>
      </c>
      <c r="B69" s="2" t="s">
        <v>199</v>
      </c>
      <c r="C69" s="2" t="s">
        <v>478</v>
      </c>
      <c r="D69" s="2" t="s">
        <v>200</v>
      </c>
      <c r="E69" s="2" t="s">
        <v>9</v>
      </c>
      <c r="F69" s="14">
        <v>41906</v>
      </c>
      <c r="G69" s="2" t="s">
        <v>479</v>
      </c>
      <c r="H69" s="13">
        <f t="shared" si="4"/>
        <v>3</v>
      </c>
      <c r="I69" s="2" t="str">
        <f t="shared" si="10"/>
        <v>Koala Room</v>
      </c>
      <c r="J69" s="2" t="str">
        <f t="shared" si="11"/>
        <v>Kangaroo Room</v>
      </c>
      <c r="K69" s="2">
        <f t="shared" si="5"/>
        <v>2</v>
      </c>
      <c r="L69" s="2" t="str">
        <f t="shared" si="6"/>
        <v>0101111</v>
      </c>
      <c r="M69" s="9">
        <f t="shared" si="12"/>
        <v>6480</v>
      </c>
      <c r="N69" s="9">
        <f t="shared" si="15"/>
        <v>0</v>
      </c>
      <c r="O69" s="9">
        <f t="shared" si="13"/>
        <v>2295</v>
      </c>
      <c r="P69" s="9">
        <f t="shared" si="14"/>
        <v>0</v>
      </c>
      <c r="Q69" s="10">
        <f t="shared" si="9"/>
        <v>8775</v>
      </c>
    </row>
    <row r="70" spans="1:17" hidden="1" x14ac:dyDescent="0.8">
      <c r="A70" s="2" t="s">
        <v>480</v>
      </c>
      <c r="B70" s="2" t="s">
        <v>203</v>
      </c>
      <c r="C70" s="2" t="s">
        <v>481</v>
      </c>
      <c r="D70" s="2" t="s">
        <v>204</v>
      </c>
      <c r="E70" s="2" t="s">
        <v>9</v>
      </c>
      <c r="F70" s="14">
        <v>42427</v>
      </c>
      <c r="G70" s="2" t="s">
        <v>383</v>
      </c>
      <c r="H70" s="13">
        <f t="shared" si="4"/>
        <v>1</v>
      </c>
      <c r="I70" s="2" t="str">
        <f t="shared" si="10"/>
        <v>Platypus Room</v>
      </c>
      <c r="J70" s="2" t="str">
        <f t="shared" si="11"/>
        <v>Emu Room</v>
      </c>
      <c r="K70" s="2">
        <f t="shared" si="5"/>
        <v>4</v>
      </c>
      <c r="L70" s="2" t="str">
        <f t="shared" si="6"/>
        <v>1010011</v>
      </c>
      <c r="M70" s="9">
        <f t="shared" si="12"/>
        <v>2640</v>
      </c>
      <c r="N70" s="9">
        <f t="shared" si="15"/>
        <v>960</v>
      </c>
      <c r="O70" s="9">
        <f t="shared" si="13"/>
        <v>13650</v>
      </c>
      <c r="P70" s="9">
        <f t="shared" si="14"/>
        <v>920</v>
      </c>
      <c r="Q70" s="10">
        <f t="shared" si="9"/>
        <v>18170</v>
      </c>
    </row>
    <row r="71" spans="1:17" hidden="1" x14ac:dyDescent="0.8">
      <c r="A71" s="2" t="s">
        <v>482</v>
      </c>
      <c r="B71" s="2" t="s">
        <v>207</v>
      </c>
      <c r="C71" s="2" t="s">
        <v>483</v>
      </c>
      <c r="D71" s="2" t="s">
        <v>208</v>
      </c>
      <c r="E71" s="2" t="s">
        <v>9</v>
      </c>
      <c r="F71" s="14">
        <v>41838</v>
      </c>
      <c r="G71" s="2" t="s">
        <v>484</v>
      </c>
      <c r="H71" s="13">
        <f t="shared" si="4"/>
        <v>3</v>
      </c>
      <c r="I71" s="2" t="str">
        <f t="shared" si="10"/>
        <v>Koala Room</v>
      </c>
      <c r="J71" s="2" t="str">
        <f t="shared" si="11"/>
        <v>Kangaroo Room</v>
      </c>
      <c r="K71" s="2">
        <f t="shared" si="5"/>
        <v>3</v>
      </c>
      <c r="L71" s="2" t="str">
        <f t="shared" si="6"/>
        <v>1110011</v>
      </c>
      <c r="M71" s="9">
        <f t="shared" si="12"/>
        <v>4860</v>
      </c>
      <c r="N71" s="9">
        <f t="shared" si="15"/>
        <v>2700</v>
      </c>
      <c r="O71" s="9">
        <f t="shared" si="13"/>
        <v>4080</v>
      </c>
      <c r="P71" s="9">
        <f t="shared" si="14"/>
        <v>2565</v>
      </c>
      <c r="Q71" s="10">
        <f t="shared" si="9"/>
        <v>14205</v>
      </c>
    </row>
    <row r="72" spans="1:17" hidden="1" x14ac:dyDescent="0.8">
      <c r="A72" s="2" t="s">
        <v>485</v>
      </c>
      <c r="B72" s="2" t="s">
        <v>209</v>
      </c>
      <c r="C72" s="2" t="s">
        <v>486</v>
      </c>
      <c r="D72" s="2" t="s">
        <v>210</v>
      </c>
      <c r="E72" s="2" t="s">
        <v>12</v>
      </c>
      <c r="F72" s="14">
        <v>41511</v>
      </c>
      <c r="G72" s="2" t="s">
        <v>413</v>
      </c>
      <c r="H72" s="13">
        <f t="shared" si="4"/>
        <v>4</v>
      </c>
      <c r="I72" s="2" t="str">
        <f t="shared" si="10"/>
        <v>Kangaroo Room</v>
      </c>
      <c r="J72" s="2" t="str">
        <f t="shared" si="11"/>
        <v>Kangaroo Room</v>
      </c>
      <c r="K72" s="2">
        <f t="shared" si="5"/>
        <v>1</v>
      </c>
      <c r="L72" s="2" t="str">
        <f t="shared" si="6"/>
        <v>1110111</v>
      </c>
      <c r="M72" s="9">
        <f t="shared" si="12"/>
        <v>2890</v>
      </c>
      <c r="N72" s="9">
        <f t="shared" si="15"/>
        <v>0</v>
      </c>
      <c r="O72" s="9">
        <f t="shared" si="13"/>
        <v>1440</v>
      </c>
      <c r="P72" s="9">
        <f t="shared" si="14"/>
        <v>0</v>
      </c>
      <c r="Q72" s="10">
        <f t="shared" si="9"/>
        <v>4330</v>
      </c>
    </row>
    <row r="73" spans="1:17" hidden="1" x14ac:dyDescent="0.8">
      <c r="A73" s="2" t="s">
        <v>487</v>
      </c>
      <c r="B73" s="2" t="s">
        <v>209</v>
      </c>
      <c r="C73" s="2" t="s">
        <v>488</v>
      </c>
      <c r="D73" s="2" t="s">
        <v>210</v>
      </c>
      <c r="E73" s="2" t="s">
        <v>12</v>
      </c>
      <c r="F73" s="14">
        <v>42308</v>
      </c>
      <c r="G73" s="2" t="s">
        <v>413</v>
      </c>
      <c r="H73" s="13">
        <f t="shared" si="4"/>
        <v>2</v>
      </c>
      <c r="I73" s="2" t="str">
        <f t="shared" si="10"/>
        <v>Emu Room</v>
      </c>
      <c r="J73" s="2" t="str">
        <f t="shared" si="11"/>
        <v>Koala Room</v>
      </c>
      <c r="K73" s="2">
        <f t="shared" si="5"/>
        <v>1</v>
      </c>
      <c r="L73" s="2" t="str">
        <f t="shared" si="6"/>
        <v>1110111</v>
      </c>
      <c r="M73" s="9">
        <f t="shared" si="12"/>
        <v>4515</v>
      </c>
      <c r="N73" s="9">
        <f t="shared" si="15"/>
        <v>0</v>
      </c>
      <c r="O73" s="9">
        <f t="shared" si="13"/>
        <v>810</v>
      </c>
      <c r="P73" s="9">
        <f t="shared" si="14"/>
        <v>0</v>
      </c>
      <c r="Q73" s="10">
        <f t="shared" si="9"/>
        <v>5325</v>
      </c>
    </row>
    <row r="74" spans="1:17" x14ac:dyDescent="0.8">
      <c r="A74" s="2" t="s">
        <v>489</v>
      </c>
      <c r="B74" s="2" t="s">
        <v>214</v>
      </c>
      <c r="C74" s="2" t="s">
        <v>490</v>
      </c>
      <c r="D74" s="2" t="s">
        <v>215</v>
      </c>
      <c r="E74" s="2" t="s">
        <v>9</v>
      </c>
      <c r="F74" s="14">
        <v>41544</v>
      </c>
      <c r="G74" s="2" t="s">
        <v>491</v>
      </c>
      <c r="H74" s="13">
        <f t="shared" si="4"/>
        <v>4</v>
      </c>
      <c r="I74" s="2" t="str">
        <f t="shared" si="10"/>
        <v>Kangaroo Room</v>
      </c>
      <c r="J74" s="2" t="str">
        <f t="shared" si="11"/>
        <v>Kangaroo Room</v>
      </c>
      <c r="K74" s="2">
        <f t="shared" si="5"/>
        <v>5</v>
      </c>
      <c r="L74" s="2" t="str">
        <f t="shared" si="6"/>
        <v>0000111</v>
      </c>
      <c r="M74" s="9">
        <f t="shared" si="12"/>
        <v>12835</v>
      </c>
      <c r="N74" s="9">
        <f t="shared" si="15"/>
        <v>3515</v>
      </c>
      <c r="O74" s="9">
        <f t="shared" si="13"/>
        <v>4080</v>
      </c>
      <c r="P74" s="9">
        <f t="shared" si="14"/>
        <v>3330</v>
      </c>
      <c r="Q74" s="10">
        <f t="shared" si="9"/>
        <v>23760</v>
      </c>
    </row>
    <row r="75" spans="1:17" hidden="1" x14ac:dyDescent="0.8">
      <c r="A75" s="2" t="s">
        <v>492</v>
      </c>
      <c r="B75" s="2" t="s">
        <v>218</v>
      </c>
      <c r="C75" s="2" t="s">
        <v>493</v>
      </c>
      <c r="D75" s="2" t="s">
        <v>42</v>
      </c>
      <c r="E75" s="2" t="s">
        <v>12</v>
      </c>
      <c r="F75" s="14">
        <v>41959</v>
      </c>
      <c r="G75" s="2" t="s">
        <v>494</v>
      </c>
      <c r="H75" s="13">
        <f t="shared" si="4"/>
        <v>3</v>
      </c>
      <c r="I75" s="2" t="str">
        <f t="shared" si="10"/>
        <v>Koala Room</v>
      </c>
      <c r="J75" s="2" t="str">
        <f t="shared" si="11"/>
        <v>Kangaroo Room</v>
      </c>
      <c r="K75" s="2">
        <f t="shared" si="5"/>
        <v>2</v>
      </c>
      <c r="L75" s="2" t="str">
        <f t="shared" si="6"/>
        <v>1110111</v>
      </c>
      <c r="M75" s="9">
        <f t="shared" si="12"/>
        <v>4140</v>
      </c>
      <c r="N75" s="9">
        <f t="shared" si="15"/>
        <v>4500</v>
      </c>
      <c r="O75" s="9">
        <f t="shared" si="13"/>
        <v>510</v>
      </c>
      <c r="P75" s="9">
        <f t="shared" si="14"/>
        <v>4180</v>
      </c>
      <c r="Q75" s="10">
        <f t="shared" si="9"/>
        <v>13330</v>
      </c>
    </row>
    <row r="76" spans="1:17" x14ac:dyDescent="0.8">
      <c r="A76" s="2" t="s">
        <v>495</v>
      </c>
      <c r="B76" s="2" t="s">
        <v>222</v>
      </c>
      <c r="C76" s="2" t="s">
        <v>496</v>
      </c>
      <c r="D76" s="2" t="s">
        <v>223</v>
      </c>
      <c r="E76" s="2" t="s">
        <v>12</v>
      </c>
      <c r="F76" s="14">
        <v>41520</v>
      </c>
      <c r="G76" s="2" t="s">
        <v>410</v>
      </c>
      <c r="H76" s="13">
        <f t="shared" si="4"/>
        <v>4</v>
      </c>
      <c r="I76" s="2" t="str">
        <f t="shared" si="10"/>
        <v>Kangaroo Room</v>
      </c>
      <c r="J76" s="2" t="str">
        <f t="shared" si="11"/>
        <v>Kangaroo Room</v>
      </c>
      <c r="K76" s="2">
        <f t="shared" si="5"/>
        <v>5</v>
      </c>
      <c r="L76" s="2" t="str">
        <f t="shared" si="6"/>
        <v>0010011</v>
      </c>
      <c r="M76" s="9">
        <f t="shared" si="12"/>
        <v>11560</v>
      </c>
      <c r="N76" s="9">
        <f t="shared" si="15"/>
        <v>3230</v>
      </c>
      <c r="O76" s="9">
        <f t="shared" si="13"/>
        <v>5360</v>
      </c>
      <c r="P76" s="9">
        <f t="shared" si="14"/>
        <v>3060</v>
      </c>
      <c r="Q76" s="10">
        <f t="shared" si="9"/>
        <v>23210</v>
      </c>
    </row>
    <row r="77" spans="1:17" x14ac:dyDescent="0.8">
      <c r="A77" s="2" t="s">
        <v>497</v>
      </c>
      <c r="B77" s="2" t="s">
        <v>222</v>
      </c>
      <c r="C77" s="2" t="s">
        <v>498</v>
      </c>
      <c r="D77" s="2" t="s">
        <v>223</v>
      </c>
      <c r="E77" s="2" t="s">
        <v>12</v>
      </c>
      <c r="F77" s="14">
        <v>42229</v>
      </c>
      <c r="G77" s="2" t="s">
        <v>410</v>
      </c>
      <c r="H77" s="13">
        <f t="shared" si="4"/>
        <v>2</v>
      </c>
      <c r="I77" s="2" t="str">
        <f t="shared" ref="I77:I108" si="16">IF(H77&lt;6,VLOOKUP(H77,Rooms,2,TRUE),"NOT ALLOWED")</f>
        <v>Emu Room</v>
      </c>
      <c r="J77" s="2" t="str">
        <f t="shared" ref="J77:J108" si="17">IF(H77+1&lt;6,VLOOKUP(H77+1,Rooms,2,TRUE),"NOT ALLOWED")</f>
        <v>Koala Room</v>
      </c>
      <c r="K77" s="2">
        <f t="shared" si="5"/>
        <v>5</v>
      </c>
      <c r="L77" s="2" t="str">
        <f t="shared" si="6"/>
        <v>0010011</v>
      </c>
      <c r="M77" s="9">
        <f t="shared" ref="M77:M108" si="18">IF(H77&lt;6,
(NETWORKDAYS.INTL(DATE(2018,1,1),DATE(2018,MONTH(F77),DAY(F77)),L77,Holidays)) *
VLOOKUP(H77,CareCosts,2),
0)</f>
        <v>13020</v>
      </c>
      <c r="N77" s="9">
        <f t="shared" si="15"/>
        <v>3565</v>
      </c>
      <c r="O77" s="9">
        <f t="shared" ref="O77:O108" si="19">IF(H77+1&lt;6,
(NETWORKDAYS.INTL(DATE(2018,MONTH(F77),DAY(F77)),DATE(2018,12,31),L77,Holidays)) *
VLOOKUP(H77+1,CareCosts,2),0)</f>
        <v>7110</v>
      </c>
      <c r="P77" s="9">
        <f t="shared" ref="P77:P108" si="20">IF(H77+1&lt;6,
(NETWORKDAYS.INTL(DATE(2018,1,1),DATE(2018,MONTH(F77),DAY(F77)),IF(ISNUMBER(SEARCH("sat",G77)),"1111101","1111111"),Holidays)) *
(VLOOKUP(H77+1,CareCosts,2)+ SaturdayPenalty),
0)</f>
        <v>3100</v>
      </c>
      <c r="Q77" s="10">
        <f t="shared" si="9"/>
        <v>26795</v>
      </c>
    </row>
    <row r="78" spans="1:17" hidden="1" x14ac:dyDescent="0.8">
      <c r="A78" s="2" t="s">
        <v>499</v>
      </c>
      <c r="B78" s="2" t="s">
        <v>225</v>
      </c>
      <c r="C78" s="2" t="s">
        <v>500</v>
      </c>
      <c r="D78" s="2" t="s">
        <v>226</v>
      </c>
      <c r="E78" s="2" t="s">
        <v>9</v>
      </c>
      <c r="F78" s="14">
        <v>42225</v>
      </c>
      <c r="G78" s="2" t="s">
        <v>452</v>
      </c>
      <c r="H78" s="13">
        <f t="shared" ref="H78:H128" si="21">_xlfn.FLOOR.MATH(YEARFRAC(DATE(2018,1,1),F78))</f>
        <v>2</v>
      </c>
      <c r="I78" s="2" t="str">
        <f t="shared" si="16"/>
        <v>Emu Room</v>
      </c>
      <c r="J78" s="2" t="str">
        <f t="shared" si="17"/>
        <v>Koala Room</v>
      </c>
      <c r="K78" s="2">
        <f t="shared" ref="K78:K128" si="22">IF(ISNUMBER(SEARCH("mon",G78)),1,0)
+ IF(ISNUMBER(SEARCH("tues",G78)),1,0)
+ IF(ISNUMBER(SEARCH("wed",G78)),1,0)
+ IF(ISNUMBER(SEARCH("thurs",G78)),1,0)
+ IF(ISNUMBER(SEARCH("fri",G78)),1,0)
+ IF(ISNUMBER(SEARCH("sat",G78)),1,0)
+ IF(ISNUMBER(SEARCH("sun",G78)),1,0)</f>
        <v>4</v>
      </c>
      <c r="L78" s="2" t="str">
        <f t="shared" ref="L78:L128" si="23">IF(ISNUMBER(SEARCH("mon",G78)),0,1)
&amp; IF(ISNUMBER(SEARCH("tues",G78)),0,1)
&amp; IF(ISNUMBER(SEARCH("wed",G78)),0,1)
&amp; IF(ISNUMBER(SEARCH("thurs",G78)),0,1)
&amp; IF(ISNUMBER(SEARCH("fri",G78)),0,1)
&amp; 1
&amp; 1</f>
        <v>1000011</v>
      </c>
      <c r="M78" s="9">
        <f t="shared" si="18"/>
        <v>13020</v>
      </c>
      <c r="N78" s="9">
        <f t="shared" ref="N78:N109" si="24">IF(H78&lt;6,
(NETWORKDAYS.INTL(DATE(2018,1,1),DATE(2018,MONTH(F78),DAY(F78)+1),IF(ISNUMBER(SEARCH("sat",G78)),"1111101","1111111"),Holidays)) *
(VLOOKUP(H78,CareCosts,2)+ SaturdayPenalty),
0)</f>
        <v>0</v>
      </c>
      <c r="O78" s="9">
        <f t="shared" si="19"/>
        <v>7110</v>
      </c>
      <c r="P78" s="9">
        <f t="shared" si="20"/>
        <v>0</v>
      </c>
      <c r="Q78" s="10">
        <f t="shared" ref="Q78:Q128" si="25">SUM(M78,N78,O78,P78)</f>
        <v>20130</v>
      </c>
    </row>
    <row r="79" spans="1:17" x14ac:dyDescent="0.8">
      <c r="A79" s="2" t="s">
        <v>501</v>
      </c>
      <c r="B79" s="2" t="s">
        <v>228</v>
      </c>
      <c r="C79" s="2" t="s">
        <v>165</v>
      </c>
      <c r="D79" s="2" t="s">
        <v>229</v>
      </c>
      <c r="E79" s="2" t="s">
        <v>12</v>
      </c>
      <c r="F79" s="14">
        <v>41246</v>
      </c>
      <c r="G79" s="2" t="s">
        <v>401</v>
      </c>
      <c r="H79" s="13">
        <f t="shared" si="21"/>
        <v>5</v>
      </c>
      <c r="I79" s="2" t="str">
        <f t="shared" si="16"/>
        <v>Kangaroo Room</v>
      </c>
      <c r="J79" s="2" t="str">
        <f t="shared" si="17"/>
        <v>NOT ALLOWED</v>
      </c>
      <c r="K79" s="2">
        <f t="shared" si="22"/>
        <v>5</v>
      </c>
      <c r="L79" s="2" t="str">
        <f t="shared" si="23"/>
        <v>0100011</v>
      </c>
      <c r="M79" s="9">
        <f t="shared" si="18"/>
        <v>14800</v>
      </c>
      <c r="N79" s="9">
        <f t="shared" si="24"/>
        <v>4230</v>
      </c>
      <c r="O79" s="9">
        <f t="shared" si="19"/>
        <v>0</v>
      </c>
      <c r="P79" s="9">
        <f t="shared" si="20"/>
        <v>0</v>
      </c>
      <c r="Q79" s="10">
        <f t="shared" si="25"/>
        <v>19030</v>
      </c>
    </row>
    <row r="80" spans="1:17" x14ac:dyDescent="0.8">
      <c r="A80" s="2" t="s">
        <v>502</v>
      </c>
      <c r="B80" s="2" t="s">
        <v>228</v>
      </c>
      <c r="C80" s="2" t="s">
        <v>503</v>
      </c>
      <c r="D80" s="2" t="s">
        <v>229</v>
      </c>
      <c r="E80" s="2" t="s">
        <v>9</v>
      </c>
      <c r="F80" s="14">
        <v>41246</v>
      </c>
      <c r="G80" s="2" t="s">
        <v>401</v>
      </c>
      <c r="H80" s="13">
        <f t="shared" si="21"/>
        <v>5</v>
      </c>
      <c r="I80" s="2" t="str">
        <f t="shared" si="16"/>
        <v>Kangaroo Room</v>
      </c>
      <c r="J80" s="2" t="str">
        <f t="shared" si="17"/>
        <v>NOT ALLOWED</v>
      </c>
      <c r="K80" s="2">
        <f t="shared" si="22"/>
        <v>5</v>
      </c>
      <c r="L80" s="2" t="str">
        <f t="shared" si="23"/>
        <v>0100011</v>
      </c>
      <c r="M80" s="9">
        <f t="shared" si="18"/>
        <v>14800</v>
      </c>
      <c r="N80" s="9">
        <f t="shared" si="24"/>
        <v>4230</v>
      </c>
      <c r="O80" s="9">
        <f t="shared" si="19"/>
        <v>0</v>
      </c>
      <c r="P80" s="9">
        <f t="shared" si="20"/>
        <v>0</v>
      </c>
      <c r="Q80" s="10">
        <f t="shared" si="25"/>
        <v>19030</v>
      </c>
    </row>
    <row r="81" spans="1:17" hidden="1" x14ac:dyDescent="0.8">
      <c r="A81" s="2" t="s">
        <v>504</v>
      </c>
      <c r="B81" s="2" t="s">
        <v>233</v>
      </c>
      <c r="C81" s="2" t="s">
        <v>505</v>
      </c>
      <c r="D81" s="2" t="s">
        <v>234</v>
      </c>
      <c r="E81" s="2" t="s">
        <v>12</v>
      </c>
      <c r="F81" s="14">
        <v>41857</v>
      </c>
      <c r="G81" s="2" t="s">
        <v>506</v>
      </c>
      <c r="H81" s="13">
        <f t="shared" si="21"/>
        <v>3</v>
      </c>
      <c r="I81" s="2" t="str">
        <f t="shared" si="16"/>
        <v>Koala Room</v>
      </c>
      <c r="J81" s="2" t="str">
        <f t="shared" si="17"/>
        <v>Kangaroo Room</v>
      </c>
      <c r="K81" s="2">
        <f t="shared" si="22"/>
        <v>4</v>
      </c>
      <c r="L81" s="2" t="str">
        <f t="shared" si="23"/>
        <v>0100111</v>
      </c>
      <c r="M81" s="9">
        <f t="shared" si="18"/>
        <v>8100</v>
      </c>
      <c r="N81" s="9">
        <f t="shared" si="24"/>
        <v>3000</v>
      </c>
      <c r="O81" s="9">
        <f t="shared" si="19"/>
        <v>5185</v>
      </c>
      <c r="P81" s="9">
        <f t="shared" si="20"/>
        <v>2850</v>
      </c>
      <c r="Q81" s="10">
        <f t="shared" si="25"/>
        <v>19135</v>
      </c>
    </row>
    <row r="82" spans="1:17" x14ac:dyDescent="0.8">
      <c r="A82" s="2" t="s">
        <v>507</v>
      </c>
      <c r="B82" s="2" t="s">
        <v>237</v>
      </c>
      <c r="C82" s="2" t="s">
        <v>227</v>
      </c>
      <c r="D82" s="2" t="s">
        <v>238</v>
      </c>
      <c r="E82" s="2" t="s">
        <v>12</v>
      </c>
      <c r="F82" s="14">
        <v>41681</v>
      </c>
      <c r="G82" s="2" t="s">
        <v>410</v>
      </c>
      <c r="H82" s="13">
        <f t="shared" si="21"/>
        <v>3</v>
      </c>
      <c r="I82" s="2" t="str">
        <f t="shared" si="16"/>
        <v>Koala Room</v>
      </c>
      <c r="J82" s="2" t="str">
        <f t="shared" si="17"/>
        <v>Kangaroo Room</v>
      </c>
      <c r="K82" s="2">
        <f t="shared" si="22"/>
        <v>5</v>
      </c>
      <c r="L82" s="2" t="str">
        <f t="shared" si="23"/>
        <v>0010011</v>
      </c>
      <c r="M82" s="9">
        <f t="shared" si="18"/>
        <v>1980</v>
      </c>
      <c r="N82" s="9">
        <f t="shared" si="24"/>
        <v>600</v>
      </c>
      <c r="O82" s="9">
        <f t="shared" si="19"/>
        <v>15300</v>
      </c>
      <c r="P82" s="9">
        <f t="shared" si="20"/>
        <v>570</v>
      </c>
      <c r="Q82" s="10">
        <f t="shared" si="25"/>
        <v>18450</v>
      </c>
    </row>
    <row r="83" spans="1:17" hidden="1" x14ac:dyDescent="0.8">
      <c r="A83" s="2" t="s">
        <v>508</v>
      </c>
      <c r="B83" s="2" t="s">
        <v>240</v>
      </c>
      <c r="C83" s="2" t="s">
        <v>509</v>
      </c>
      <c r="D83" s="2" t="s">
        <v>241</v>
      </c>
      <c r="E83" s="2" t="s">
        <v>9</v>
      </c>
      <c r="F83" s="14">
        <v>41854</v>
      </c>
      <c r="G83" s="2" t="s">
        <v>510</v>
      </c>
      <c r="H83" s="13">
        <f t="shared" si="21"/>
        <v>3</v>
      </c>
      <c r="I83" s="2" t="str">
        <f t="shared" si="16"/>
        <v>Koala Room</v>
      </c>
      <c r="J83" s="2" t="str">
        <f t="shared" si="17"/>
        <v>Kangaroo Room</v>
      </c>
      <c r="K83" s="2">
        <f t="shared" si="22"/>
        <v>2</v>
      </c>
      <c r="L83" s="2" t="str">
        <f t="shared" si="23"/>
        <v>0111111</v>
      </c>
      <c r="M83" s="9">
        <f t="shared" si="18"/>
        <v>2520</v>
      </c>
      <c r="N83" s="9">
        <f t="shared" si="24"/>
        <v>3000</v>
      </c>
      <c r="O83" s="9">
        <f t="shared" si="19"/>
        <v>1785</v>
      </c>
      <c r="P83" s="9">
        <f t="shared" si="20"/>
        <v>2755</v>
      </c>
      <c r="Q83" s="10">
        <f t="shared" si="25"/>
        <v>10060</v>
      </c>
    </row>
    <row r="84" spans="1:17" hidden="1" x14ac:dyDescent="0.8">
      <c r="A84" s="2" t="s">
        <v>511</v>
      </c>
      <c r="B84" s="2" t="s">
        <v>240</v>
      </c>
      <c r="C84" s="2" t="s">
        <v>512</v>
      </c>
      <c r="D84" s="2" t="s">
        <v>241</v>
      </c>
      <c r="E84" s="2" t="s">
        <v>12</v>
      </c>
      <c r="F84" s="14">
        <v>42497</v>
      </c>
      <c r="G84" s="2" t="s">
        <v>510</v>
      </c>
      <c r="H84" s="13">
        <f t="shared" si="21"/>
        <v>1</v>
      </c>
      <c r="I84" s="2" t="str">
        <f t="shared" si="16"/>
        <v>Platypus Room</v>
      </c>
      <c r="J84" s="2" t="str">
        <f t="shared" si="17"/>
        <v>Emu Room</v>
      </c>
      <c r="K84" s="2">
        <f t="shared" si="22"/>
        <v>2</v>
      </c>
      <c r="L84" s="2" t="str">
        <f t="shared" si="23"/>
        <v>0111111</v>
      </c>
      <c r="M84" s="9">
        <f t="shared" si="18"/>
        <v>1760</v>
      </c>
      <c r="N84" s="9">
        <f t="shared" si="24"/>
        <v>2040</v>
      </c>
      <c r="O84" s="9">
        <f t="shared" si="19"/>
        <v>3465</v>
      </c>
      <c r="P84" s="9">
        <f t="shared" si="20"/>
        <v>1955</v>
      </c>
      <c r="Q84" s="10">
        <f t="shared" si="25"/>
        <v>9220</v>
      </c>
    </row>
    <row r="85" spans="1:17" hidden="1" x14ac:dyDescent="0.8">
      <c r="A85" s="2" t="s">
        <v>513</v>
      </c>
      <c r="B85" s="2" t="s">
        <v>244</v>
      </c>
      <c r="C85" s="2" t="s">
        <v>514</v>
      </c>
      <c r="D85" s="2" t="s">
        <v>245</v>
      </c>
      <c r="E85" s="2" t="s">
        <v>9</v>
      </c>
      <c r="F85" s="14">
        <v>41322</v>
      </c>
      <c r="G85" s="2" t="s">
        <v>515</v>
      </c>
      <c r="H85" s="13">
        <f t="shared" si="21"/>
        <v>4</v>
      </c>
      <c r="I85" s="2" t="str">
        <f t="shared" si="16"/>
        <v>Kangaroo Room</v>
      </c>
      <c r="J85" s="2" t="str">
        <f t="shared" si="17"/>
        <v>Kangaroo Room</v>
      </c>
      <c r="K85" s="2">
        <f t="shared" si="22"/>
        <v>3</v>
      </c>
      <c r="L85" s="2" t="str">
        <f t="shared" si="23"/>
        <v>1101011</v>
      </c>
      <c r="M85" s="9">
        <f t="shared" si="18"/>
        <v>1105</v>
      </c>
      <c r="N85" s="9">
        <f t="shared" si="24"/>
        <v>665</v>
      </c>
      <c r="O85" s="9">
        <f t="shared" si="19"/>
        <v>6880</v>
      </c>
      <c r="P85" s="9">
        <f t="shared" si="20"/>
        <v>630</v>
      </c>
      <c r="Q85" s="10">
        <f t="shared" si="25"/>
        <v>9280</v>
      </c>
    </row>
    <row r="86" spans="1:17" hidden="1" x14ac:dyDescent="0.8">
      <c r="A86" s="2" t="s">
        <v>516</v>
      </c>
      <c r="B86" s="2" t="s">
        <v>244</v>
      </c>
      <c r="C86" s="2" t="s">
        <v>517</v>
      </c>
      <c r="D86" s="2" t="s">
        <v>245</v>
      </c>
      <c r="E86" s="2" t="s">
        <v>9</v>
      </c>
      <c r="F86" s="14">
        <v>41322</v>
      </c>
      <c r="G86" s="2" t="s">
        <v>515</v>
      </c>
      <c r="H86" s="13">
        <f t="shared" si="21"/>
        <v>4</v>
      </c>
      <c r="I86" s="2" t="str">
        <f t="shared" si="16"/>
        <v>Kangaroo Room</v>
      </c>
      <c r="J86" s="2" t="str">
        <f t="shared" si="17"/>
        <v>Kangaroo Room</v>
      </c>
      <c r="K86" s="2">
        <f t="shared" si="22"/>
        <v>3</v>
      </c>
      <c r="L86" s="2" t="str">
        <f t="shared" si="23"/>
        <v>1101011</v>
      </c>
      <c r="M86" s="9">
        <f t="shared" si="18"/>
        <v>1105</v>
      </c>
      <c r="N86" s="9">
        <f t="shared" si="24"/>
        <v>665</v>
      </c>
      <c r="O86" s="9">
        <f t="shared" si="19"/>
        <v>6880</v>
      </c>
      <c r="P86" s="9">
        <f t="shared" si="20"/>
        <v>630</v>
      </c>
      <c r="Q86" s="10">
        <f t="shared" si="25"/>
        <v>9280</v>
      </c>
    </row>
    <row r="87" spans="1:17" hidden="1" x14ac:dyDescent="0.8">
      <c r="A87" s="2" t="s">
        <v>518</v>
      </c>
      <c r="B87" s="2" t="s">
        <v>244</v>
      </c>
      <c r="C87" s="2" t="s">
        <v>519</v>
      </c>
      <c r="D87" s="2" t="s">
        <v>245</v>
      </c>
      <c r="E87" s="2" t="s">
        <v>12</v>
      </c>
      <c r="F87" s="14">
        <v>41978</v>
      </c>
      <c r="G87" s="2" t="s">
        <v>515</v>
      </c>
      <c r="H87" s="13">
        <f t="shared" si="21"/>
        <v>3</v>
      </c>
      <c r="I87" s="2" t="str">
        <f t="shared" si="16"/>
        <v>Koala Room</v>
      </c>
      <c r="J87" s="2" t="str">
        <f t="shared" si="17"/>
        <v>Kangaroo Room</v>
      </c>
      <c r="K87" s="2">
        <f t="shared" si="22"/>
        <v>3</v>
      </c>
      <c r="L87" s="2" t="str">
        <f t="shared" si="23"/>
        <v>1101011</v>
      </c>
      <c r="M87" s="9">
        <f t="shared" si="18"/>
        <v>8370</v>
      </c>
      <c r="N87" s="9">
        <f t="shared" si="24"/>
        <v>4700</v>
      </c>
      <c r="O87" s="9">
        <f t="shared" si="19"/>
        <v>595</v>
      </c>
      <c r="P87" s="9">
        <f t="shared" si="20"/>
        <v>4465</v>
      </c>
      <c r="Q87" s="10">
        <f t="shared" si="25"/>
        <v>18130</v>
      </c>
    </row>
    <row r="88" spans="1:17" hidden="1" x14ac:dyDescent="0.8">
      <c r="A88" s="2" t="s">
        <v>520</v>
      </c>
      <c r="B88" s="2" t="s">
        <v>248</v>
      </c>
      <c r="C88" s="2" t="s">
        <v>521</v>
      </c>
      <c r="D88" s="2" t="s">
        <v>249</v>
      </c>
      <c r="E88" s="2" t="s">
        <v>12</v>
      </c>
      <c r="F88" s="14">
        <v>41624</v>
      </c>
      <c r="G88" s="2" t="s">
        <v>522</v>
      </c>
      <c r="H88" s="13">
        <f t="shared" si="21"/>
        <v>4</v>
      </c>
      <c r="I88" s="2" t="str">
        <f t="shared" si="16"/>
        <v>Kangaroo Room</v>
      </c>
      <c r="J88" s="2" t="str">
        <f t="shared" si="17"/>
        <v>Kangaroo Room</v>
      </c>
      <c r="K88" s="2">
        <f t="shared" si="22"/>
        <v>2</v>
      </c>
      <c r="L88" s="2" t="str">
        <f t="shared" si="23"/>
        <v>1110011</v>
      </c>
      <c r="M88" s="9">
        <f t="shared" si="18"/>
        <v>8330</v>
      </c>
      <c r="N88" s="9">
        <f t="shared" si="24"/>
        <v>0</v>
      </c>
      <c r="O88" s="9">
        <f t="shared" si="19"/>
        <v>320</v>
      </c>
      <c r="P88" s="9">
        <f t="shared" si="20"/>
        <v>0</v>
      </c>
      <c r="Q88" s="10">
        <f t="shared" si="25"/>
        <v>8650</v>
      </c>
    </row>
    <row r="89" spans="1:17" hidden="1" x14ac:dyDescent="0.8">
      <c r="A89" s="2" t="s">
        <v>523</v>
      </c>
      <c r="B89" s="2" t="s">
        <v>252</v>
      </c>
      <c r="C89" s="2" t="s">
        <v>524</v>
      </c>
      <c r="D89" s="2" t="s">
        <v>253</v>
      </c>
      <c r="E89" s="2" t="s">
        <v>9</v>
      </c>
      <c r="F89" s="14">
        <v>42445</v>
      </c>
      <c r="G89" s="2" t="s">
        <v>525</v>
      </c>
      <c r="H89" s="13">
        <f t="shared" si="21"/>
        <v>1</v>
      </c>
      <c r="I89" s="2" t="str">
        <f t="shared" si="16"/>
        <v>Platypus Room</v>
      </c>
      <c r="J89" s="2" t="str">
        <f t="shared" si="17"/>
        <v>Emu Room</v>
      </c>
      <c r="K89" s="2">
        <f t="shared" si="22"/>
        <v>3</v>
      </c>
      <c r="L89" s="2" t="str">
        <f t="shared" si="23"/>
        <v>0010111</v>
      </c>
      <c r="M89" s="9">
        <f t="shared" si="18"/>
        <v>3520</v>
      </c>
      <c r="N89" s="9">
        <f t="shared" si="24"/>
        <v>0</v>
      </c>
      <c r="O89" s="9">
        <f t="shared" si="19"/>
        <v>12600</v>
      </c>
      <c r="P89" s="9">
        <f t="shared" si="20"/>
        <v>0</v>
      </c>
      <c r="Q89" s="10">
        <f t="shared" si="25"/>
        <v>16120</v>
      </c>
    </row>
    <row r="90" spans="1:17" hidden="1" x14ac:dyDescent="0.8">
      <c r="A90" s="2" t="s">
        <v>526</v>
      </c>
      <c r="B90" s="2" t="s">
        <v>252</v>
      </c>
      <c r="C90" s="2" t="s">
        <v>527</v>
      </c>
      <c r="D90" s="2" t="s">
        <v>253</v>
      </c>
      <c r="E90" s="2" t="s">
        <v>9</v>
      </c>
      <c r="F90" s="14">
        <v>42445</v>
      </c>
      <c r="G90" s="2" t="s">
        <v>525</v>
      </c>
      <c r="H90" s="13">
        <f t="shared" si="21"/>
        <v>1</v>
      </c>
      <c r="I90" s="2" t="str">
        <f t="shared" si="16"/>
        <v>Platypus Room</v>
      </c>
      <c r="J90" s="2" t="str">
        <f t="shared" si="17"/>
        <v>Emu Room</v>
      </c>
      <c r="K90" s="2">
        <f t="shared" si="22"/>
        <v>3</v>
      </c>
      <c r="L90" s="2" t="str">
        <f t="shared" si="23"/>
        <v>0010111</v>
      </c>
      <c r="M90" s="9">
        <f t="shared" si="18"/>
        <v>3520</v>
      </c>
      <c r="N90" s="9">
        <f t="shared" si="24"/>
        <v>0</v>
      </c>
      <c r="O90" s="9">
        <f t="shared" si="19"/>
        <v>12600</v>
      </c>
      <c r="P90" s="9">
        <f t="shared" si="20"/>
        <v>0</v>
      </c>
      <c r="Q90" s="10">
        <f t="shared" si="25"/>
        <v>16120</v>
      </c>
    </row>
    <row r="91" spans="1:17" hidden="1" x14ac:dyDescent="0.8">
      <c r="A91" s="2" t="s">
        <v>528</v>
      </c>
      <c r="B91" s="2" t="s">
        <v>252</v>
      </c>
      <c r="C91" s="2" t="s">
        <v>529</v>
      </c>
      <c r="D91" s="2" t="s">
        <v>253</v>
      </c>
      <c r="E91" s="2" t="s">
        <v>12</v>
      </c>
      <c r="F91" s="14">
        <v>42445</v>
      </c>
      <c r="G91" s="2" t="s">
        <v>525</v>
      </c>
      <c r="H91" s="13">
        <f t="shared" si="21"/>
        <v>1</v>
      </c>
      <c r="I91" s="2" t="str">
        <f t="shared" si="16"/>
        <v>Platypus Room</v>
      </c>
      <c r="J91" s="2" t="str">
        <f t="shared" si="17"/>
        <v>Emu Room</v>
      </c>
      <c r="K91" s="2">
        <f t="shared" si="22"/>
        <v>3</v>
      </c>
      <c r="L91" s="2" t="str">
        <f t="shared" si="23"/>
        <v>0010111</v>
      </c>
      <c r="M91" s="9">
        <f t="shared" si="18"/>
        <v>3520</v>
      </c>
      <c r="N91" s="9">
        <f t="shared" si="24"/>
        <v>0</v>
      </c>
      <c r="O91" s="9">
        <f t="shared" si="19"/>
        <v>12600</v>
      </c>
      <c r="P91" s="9">
        <f t="shared" si="20"/>
        <v>0</v>
      </c>
      <c r="Q91" s="10">
        <f t="shared" si="25"/>
        <v>16120</v>
      </c>
    </row>
    <row r="92" spans="1:17" hidden="1" x14ac:dyDescent="0.8">
      <c r="A92" s="2" t="s">
        <v>530</v>
      </c>
      <c r="B92" s="2" t="s">
        <v>255</v>
      </c>
      <c r="C92" s="2" t="s">
        <v>531</v>
      </c>
      <c r="D92" s="2" t="s">
        <v>256</v>
      </c>
      <c r="E92" s="2" t="s">
        <v>12</v>
      </c>
      <c r="F92" s="14">
        <v>41290</v>
      </c>
      <c r="G92" s="2" t="s">
        <v>532</v>
      </c>
      <c r="H92" s="13">
        <f t="shared" si="21"/>
        <v>4</v>
      </c>
      <c r="I92" s="2" t="str">
        <f t="shared" si="16"/>
        <v>Kangaroo Room</v>
      </c>
      <c r="J92" s="2" t="str">
        <f t="shared" si="17"/>
        <v>Kangaroo Room</v>
      </c>
      <c r="K92" s="2">
        <f t="shared" si="22"/>
        <v>3</v>
      </c>
      <c r="L92" s="2" t="str">
        <f t="shared" si="23"/>
        <v>0101111</v>
      </c>
      <c r="M92" s="9">
        <f t="shared" si="18"/>
        <v>340</v>
      </c>
      <c r="N92" s="9">
        <f t="shared" si="24"/>
        <v>190</v>
      </c>
      <c r="O92" s="9">
        <f t="shared" si="19"/>
        <v>7520</v>
      </c>
      <c r="P92" s="9">
        <f t="shared" si="20"/>
        <v>180</v>
      </c>
      <c r="Q92" s="10">
        <f t="shared" si="25"/>
        <v>8230</v>
      </c>
    </row>
    <row r="93" spans="1:17" hidden="1" x14ac:dyDescent="0.8">
      <c r="A93" s="2" t="s">
        <v>533</v>
      </c>
      <c r="B93" s="2" t="s">
        <v>257</v>
      </c>
      <c r="C93" s="2" t="s">
        <v>534</v>
      </c>
      <c r="D93" s="2" t="s">
        <v>258</v>
      </c>
      <c r="E93" s="2" t="s">
        <v>12</v>
      </c>
      <c r="F93" s="14">
        <v>42045</v>
      </c>
      <c r="G93" s="2" t="s">
        <v>535</v>
      </c>
      <c r="H93" s="13">
        <f t="shared" si="21"/>
        <v>2</v>
      </c>
      <c r="I93" s="2" t="str">
        <f t="shared" si="16"/>
        <v>Emu Room</v>
      </c>
      <c r="J93" s="2" t="str">
        <f t="shared" si="17"/>
        <v>Koala Room</v>
      </c>
      <c r="K93" s="2">
        <f t="shared" si="22"/>
        <v>2</v>
      </c>
      <c r="L93" s="2" t="str">
        <f t="shared" si="23"/>
        <v>0011111</v>
      </c>
      <c r="M93" s="9">
        <f t="shared" si="18"/>
        <v>1155</v>
      </c>
      <c r="N93" s="9">
        <f t="shared" si="24"/>
        <v>0</v>
      </c>
      <c r="O93" s="9">
        <f t="shared" si="19"/>
        <v>8010</v>
      </c>
      <c r="P93" s="9">
        <f t="shared" si="20"/>
        <v>0</v>
      </c>
      <c r="Q93" s="10">
        <f t="shared" si="25"/>
        <v>9165</v>
      </c>
    </row>
    <row r="94" spans="1:17" hidden="1" x14ac:dyDescent="0.8">
      <c r="A94" s="2" t="s">
        <v>536</v>
      </c>
      <c r="B94" s="2" t="s">
        <v>260</v>
      </c>
      <c r="C94" s="2" t="s">
        <v>246</v>
      </c>
      <c r="D94" s="2" t="s">
        <v>261</v>
      </c>
      <c r="E94" s="2" t="s">
        <v>12</v>
      </c>
      <c r="F94" s="14">
        <v>41479</v>
      </c>
      <c r="G94" s="2" t="s">
        <v>537</v>
      </c>
      <c r="H94" s="13">
        <f t="shared" si="21"/>
        <v>4</v>
      </c>
      <c r="I94" s="2" t="str">
        <f t="shared" si="16"/>
        <v>Kangaroo Room</v>
      </c>
      <c r="J94" s="2" t="str">
        <f t="shared" si="17"/>
        <v>Kangaroo Room</v>
      </c>
      <c r="K94" s="2">
        <f t="shared" si="22"/>
        <v>2</v>
      </c>
      <c r="L94" s="2" t="str">
        <f t="shared" si="23"/>
        <v>1100111</v>
      </c>
      <c r="M94" s="9">
        <f t="shared" si="18"/>
        <v>4845</v>
      </c>
      <c r="N94" s="9">
        <f t="shared" si="24"/>
        <v>0</v>
      </c>
      <c r="O94" s="9">
        <f t="shared" si="19"/>
        <v>3520</v>
      </c>
      <c r="P94" s="9">
        <f t="shared" si="20"/>
        <v>0</v>
      </c>
      <c r="Q94" s="10">
        <f t="shared" si="25"/>
        <v>8365</v>
      </c>
    </row>
    <row r="95" spans="1:17" hidden="1" x14ac:dyDescent="0.8">
      <c r="A95" s="2" t="s">
        <v>538</v>
      </c>
      <c r="B95" s="2" t="s">
        <v>265</v>
      </c>
      <c r="C95" s="2" t="s">
        <v>539</v>
      </c>
      <c r="D95" s="2" t="s">
        <v>266</v>
      </c>
      <c r="E95" s="2" t="s">
        <v>12</v>
      </c>
      <c r="F95" s="14">
        <v>41369</v>
      </c>
      <c r="G95" s="2" t="s">
        <v>540</v>
      </c>
      <c r="H95" s="13">
        <f t="shared" si="21"/>
        <v>4</v>
      </c>
      <c r="I95" s="2" t="str">
        <f t="shared" si="16"/>
        <v>Kangaroo Room</v>
      </c>
      <c r="J95" s="2" t="str">
        <f t="shared" si="17"/>
        <v>Kangaroo Room</v>
      </c>
      <c r="K95" s="2">
        <f t="shared" si="22"/>
        <v>2</v>
      </c>
      <c r="L95" s="2" t="str">
        <f t="shared" si="23"/>
        <v>1011011</v>
      </c>
      <c r="M95" s="9">
        <f t="shared" si="18"/>
        <v>2125</v>
      </c>
      <c r="N95" s="9">
        <f t="shared" si="24"/>
        <v>0</v>
      </c>
      <c r="O95" s="9">
        <f t="shared" si="19"/>
        <v>6080</v>
      </c>
      <c r="P95" s="9">
        <f t="shared" si="20"/>
        <v>0</v>
      </c>
      <c r="Q95" s="10">
        <f t="shared" si="25"/>
        <v>8205</v>
      </c>
    </row>
    <row r="96" spans="1:17" hidden="1" x14ac:dyDescent="0.8">
      <c r="A96" s="2" t="s">
        <v>541</v>
      </c>
      <c r="B96" s="2" t="s">
        <v>269</v>
      </c>
      <c r="C96" s="2" t="s">
        <v>542</v>
      </c>
      <c r="D96" s="2" t="s">
        <v>270</v>
      </c>
      <c r="E96" s="2" t="s">
        <v>12</v>
      </c>
      <c r="F96" s="14">
        <v>41664</v>
      </c>
      <c r="G96" s="2" t="s">
        <v>543</v>
      </c>
      <c r="H96" s="13">
        <f t="shared" si="21"/>
        <v>3</v>
      </c>
      <c r="I96" s="2" t="str">
        <f t="shared" si="16"/>
        <v>Koala Room</v>
      </c>
      <c r="J96" s="2" t="str">
        <f t="shared" si="17"/>
        <v>Kangaroo Room</v>
      </c>
      <c r="K96" s="2">
        <f t="shared" si="22"/>
        <v>3</v>
      </c>
      <c r="L96" s="2" t="str">
        <f t="shared" si="23"/>
        <v>1010011</v>
      </c>
      <c r="M96" s="9">
        <f t="shared" si="18"/>
        <v>990</v>
      </c>
      <c r="N96" s="9">
        <f t="shared" si="24"/>
        <v>0</v>
      </c>
      <c r="O96" s="9">
        <f t="shared" si="19"/>
        <v>12155</v>
      </c>
      <c r="P96" s="9">
        <f t="shared" si="20"/>
        <v>0</v>
      </c>
      <c r="Q96" s="10">
        <f t="shared" si="25"/>
        <v>13145</v>
      </c>
    </row>
    <row r="97" spans="1:17" hidden="1" x14ac:dyDescent="0.8">
      <c r="A97" s="2" t="s">
        <v>544</v>
      </c>
      <c r="B97" s="2" t="s">
        <v>269</v>
      </c>
      <c r="C97" s="2" t="s">
        <v>545</v>
      </c>
      <c r="D97" s="2" t="s">
        <v>270</v>
      </c>
      <c r="E97" s="2" t="s">
        <v>12</v>
      </c>
      <c r="F97" s="14">
        <v>42943</v>
      </c>
      <c r="G97" s="2" t="s">
        <v>543</v>
      </c>
      <c r="H97" s="13">
        <f t="shared" si="21"/>
        <v>0</v>
      </c>
      <c r="I97" s="2" t="str">
        <f t="shared" si="16"/>
        <v>Platypus Room</v>
      </c>
      <c r="J97" s="2" t="str">
        <f t="shared" si="17"/>
        <v>Platypus Room</v>
      </c>
      <c r="K97" s="2">
        <f t="shared" si="22"/>
        <v>3</v>
      </c>
      <c r="L97" s="2" t="str">
        <f t="shared" si="23"/>
        <v>1010011</v>
      </c>
      <c r="M97" s="9">
        <f t="shared" si="18"/>
        <v>10560</v>
      </c>
      <c r="N97" s="9">
        <f t="shared" si="24"/>
        <v>0</v>
      </c>
      <c r="O97" s="9">
        <f t="shared" si="19"/>
        <v>7260</v>
      </c>
      <c r="P97" s="9">
        <f t="shared" si="20"/>
        <v>0</v>
      </c>
      <c r="Q97" s="10">
        <f t="shared" si="25"/>
        <v>17820</v>
      </c>
    </row>
    <row r="98" spans="1:17" hidden="1" x14ac:dyDescent="0.8">
      <c r="A98" s="2" t="s">
        <v>546</v>
      </c>
      <c r="B98" s="2" t="s">
        <v>271</v>
      </c>
      <c r="C98" s="2" t="s">
        <v>547</v>
      </c>
      <c r="D98" s="2" t="s">
        <v>272</v>
      </c>
      <c r="E98" s="2" t="s">
        <v>9</v>
      </c>
      <c r="F98" s="14">
        <v>41969</v>
      </c>
      <c r="G98" s="2" t="s">
        <v>548</v>
      </c>
      <c r="H98" s="13">
        <f t="shared" si="21"/>
        <v>3</v>
      </c>
      <c r="I98" s="2" t="str">
        <f t="shared" si="16"/>
        <v>Koala Room</v>
      </c>
      <c r="J98" s="2" t="str">
        <f t="shared" si="17"/>
        <v>Kangaroo Room</v>
      </c>
      <c r="K98" s="2">
        <f t="shared" si="22"/>
        <v>3</v>
      </c>
      <c r="L98" s="2" t="str">
        <f t="shared" si="23"/>
        <v>0100111</v>
      </c>
      <c r="M98" s="9">
        <f t="shared" si="18"/>
        <v>12240</v>
      </c>
      <c r="N98" s="9">
        <f t="shared" si="24"/>
        <v>0</v>
      </c>
      <c r="O98" s="9">
        <f t="shared" si="19"/>
        <v>1275</v>
      </c>
      <c r="P98" s="9">
        <f t="shared" si="20"/>
        <v>0</v>
      </c>
      <c r="Q98" s="10">
        <f t="shared" si="25"/>
        <v>13515</v>
      </c>
    </row>
    <row r="99" spans="1:17" hidden="1" x14ac:dyDescent="0.8">
      <c r="A99" s="2" t="s">
        <v>549</v>
      </c>
      <c r="B99" s="2" t="s">
        <v>275</v>
      </c>
      <c r="C99" s="2" t="s">
        <v>550</v>
      </c>
      <c r="D99" s="2" t="s">
        <v>276</v>
      </c>
      <c r="E99" s="2" t="s">
        <v>12</v>
      </c>
      <c r="F99" s="14">
        <v>42176</v>
      </c>
      <c r="G99" s="2" t="s">
        <v>470</v>
      </c>
      <c r="H99" s="13">
        <f t="shared" si="21"/>
        <v>2</v>
      </c>
      <c r="I99" s="2" t="str">
        <f t="shared" si="16"/>
        <v>Emu Room</v>
      </c>
      <c r="J99" s="2" t="str">
        <f t="shared" si="17"/>
        <v>Koala Room</v>
      </c>
      <c r="K99" s="2">
        <f t="shared" si="22"/>
        <v>4</v>
      </c>
      <c r="L99" s="2" t="str">
        <f t="shared" si="23"/>
        <v>0001011</v>
      </c>
      <c r="M99" s="9">
        <f t="shared" si="18"/>
        <v>9765</v>
      </c>
      <c r="N99" s="9">
        <f t="shared" si="24"/>
        <v>0</v>
      </c>
      <c r="O99" s="9">
        <f t="shared" si="19"/>
        <v>9540</v>
      </c>
      <c r="P99" s="9">
        <f t="shared" si="20"/>
        <v>0</v>
      </c>
      <c r="Q99" s="10">
        <f t="shared" si="25"/>
        <v>19305</v>
      </c>
    </row>
    <row r="100" spans="1:17" hidden="1" x14ac:dyDescent="0.8">
      <c r="A100" s="2" t="s">
        <v>551</v>
      </c>
      <c r="B100" s="2" t="s">
        <v>278</v>
      </c>
      <c r="C100" s="2" t="s">
        <v>552</v>
      </c>
      <c r="D100" s="2" t="s">
        <v>279</v>
      </c>
      <c r="E100" s="2" t="s">
        <v>12</v>
      </c>
      <c r="F100" s="14">
        <v>41544</v>
      </c>
      <c r="G100" s="2" t="s">
        <v>525</v>
      </c>
      <c r="H100" s="13">
        <f t="shared" si="21"/>
        <v>4</v>
      </c>
      <c r="I100" s="2" t="str">
        <f t="shared" si="16"/>
        <v>Kangaroo Room</v>
      </c>
      <c r="J100" s="2" t="str">
        <f t="shared" si="17"/>
        <v>Kangaroo Room</v>
      </c>
      <c r="K100" s="2">
        <f t="shared" si="22"/>
        <v>3</v>
      </c>
      <c r="L100" s="2" t="str">
        <f t="shared" si="23"/>
        <v>0010111</v>
      </c>
      <c r="M100" s="9">
        <f t="shared" si="18"/>
        <v>9690</v>
      </c>
      <c r="N100" s="9">
        <f t="shared" si="24"/>
        <v>0</v>
      </c>
      <c r="O100" s="9">
        <f t="shared" si="19"/>
        <v>3120</v>
      </c>
      <c r="P100" s="9">
        <f t="shared" si="20"/>
        <v>0</v>
      </c>
      <c r="Q100" s="10">
        <f t="shared" si="25"/>
        <v>12810</v>
      </c>
    </row>
    <row r="101" spans="1:17" hidden="1" x14ac:dyDescent="0.8">
      <c r="A101" s="2" t="s">
        <v>553</v>
      </c>
      <c r="B101" s="2" t="s">
        <v>278</v>
      </c>
      <c r="C101" s="2" t="s">
        <v>554</v>
      </c>
      <c r="D101" s="2" t="s">
        <v>279</v>
      </c>
      <c r="E101" s="2" t="s">
        <v>12</v>
      </c>
      <c r="F101" s="14">
        <v>41544</v>
      </c>
      <c r="G101" s="2" t="s">
        <v>525</v>
      </c>
      <c r="H101" s="13">
        <f t="shared" si="21"/>
        <v>4</v>
      </c>
      <c r="I101" s="2" t="str">
        <f t="shared" si="16"/>
        <v>Kangaroo Room</v>
      </c>
      <c r="J101" s="2" t="str">
        <f t="shared" si="17"/>
        <v>Kangaroo Room</v>
      </c>
      <c r="K101" s="2">
        <f t="shared" si="22"/>
        <v>3</v>
      </c>
      <c r="L101" s="2" t="str">
        <f t="shared" si="23"/>
        <v>0010111</v>
      </c>
      <c r="M101" s="9">
        <f t="shared" si="18"/>
        <v>9690</v>
      </c>
      <c r="N101" s="9">
        <f t="shared" si="24"/>
        <v>0</v>
      </c>
      <c r="O101" s="9">
        <f t="shared" si="19"/>
        <v>3120</v>
      </c>
      <c r="P101" s="9">
        <f t="shared" si="20"/>
        <v>0</v>
      </c>
      <c r="Q101" s="10">
        <f t="shared" si="25"/>
        <v>12810</v>
      </c>
    </row>
    <row r="102" spans="1:17" hidden="1" x14ac:dyDescent="0.8">
      <c r="A102" s="2" t="s">
        <v>555</v>
      </c>
      <c r="B102" s="2" t="s">
        <v>278</v>
      </c>
      <c r="C102" s="2" t="s">
        <v>556</v>
      </c>
      <c r="D102" s="2" t="s">
        <v>279</v>
      </c>
      <c r="E102" s="2" t="s">
        <v>9</v>
      </c>
      <c r="F102" s="14">
        <v>41544</v>
      </c>
      <c r="G102" s="2" t="s">
        <v>525</v>
      </c>
      <c r="H102" s="13">
        <f t="shared" si="21"/>
        <v>4</v>
      </c>
      <c r="I102" s="2" t="str">
        <f t="shared" si="16"/>
        <v>Kangaroo Room</v>
      </c>
      <c r="J102" s="2" t="str">
        <f t="shared" si="17"/>
        <v>Kangaroo Room</v>
      </c>
      <c r="K102" s="2">
        <f t="shared" si="22"/>
        <v>3</v>
      </c>
      <c r="L102" s="2" t="str">
        <f t="shared" si="23"/>
        <v>0010111</v>
      </c>
      <c r="M102" s="9">
        <f t="shared" si="18"/>
        <v>9690</v>
      </c>
      <c r="N102" s="9">
        <f t="shared" si="24"/>
        <v>0</v>
      </c>
      <c r="O102" s="9">
        <f t="shared" si="19"/>
        <v>3120</v>
      </c>
      <c r="P102" s="9">
        <f t="shared" si="20"/>
        <v>0</v>
      </c>
      <c r="Q102" s="10">
        <f t="shared" si="25"/>
        <v>12810</v>
      </c>
    </row>
    <row r="103" spans="1:17" hidden="1" x14ac:dyDescent="0.8">
      <c r="A103" s="2" t="s">
        <v>557</v>
      </c>
      <c r="B103" s="2" t="s">
        <v>282</v>
      </c>
      <c r="C103" s="2" t="s">
        <v>558</v>
      </c>
      <c r="D103" s="2" t="s">
        <v>283</v>
      </c>
      <c r="E103" s="2" t="s">
        <v>9</v>
      </c>
      <c r="F103" s="14">
        <v>42191</v>
      </c>
      <c r="G103" s="2" t="s">
        <v>479</v>
      </c>
      <c r="H103" s="13">
        <f t="shared" si="21"/>
        <v>2</v>
      </c>
      <c r="I103" s="2" t="str">
        <f t="shared" si="16"/>
        <v>Emu Room</v>
      </c>
      <c r="J103" s="2" t="str">
        <f t="shared" si="17"/>
        <v>Koala Room</v>
      </c>
      <c r="K103" s="2">
        <f t="shared" si="22"/>
        <v>2</v>
      </c>
      <c r="L103" s="2" t="str">
        <f t="shared" si="23"/>
        <v>0101111</v>
      </c>
      <c r="M103" s="9">
        <f t="shared" si="18"/>
        <v>5250</v>
      </c>
      <c r="N103" s="9">
        <f t="shared" si="24"/>
        <v>0</v>
      </c>
      <c r="O103" s="9">
        <f t="shared" si="19"/>
        <v>4320</v>
      </c>
      <c r="P103" s="9">
        <f t="shared" si="20"/>
        <v>0</v>
      </c>
      <c r="Q103" s="10">
        <f t="shared" si="25"/>
        <v>9570</v>
      </c>
    </row>
    <row r="104" spans="1:17" hidden="1" x14ac:dyDescent="0.8">
      <c r="A104" s="2" t="s">
        <v>559</v>
      </c>
      <c r="B104" s="2" t="s">
        <v>286</v>
      </c>
      <c r="C104" s="2" t="s">
        <v>560</v>
      </c>
      <c r="D104" s="2" t="s">
        <v>287</v>
      </c>
      <c r="E104" s="2" t="s">
        <v>12</v>
      </c>
      <c r="F104" s="14">
        <v>42199</v>
      </c>
      <c r="G104" s="2" t="s">
        <v>540</v>
      </c>
      <c r="H104" s="13">
        <f t="shared" si="21"/>
        <v>2</v>
      </c>
      <c r="I104" s="2" t="str">
        <f t="shared" si="16"/>
        <v>Emu Room</v>
      </c>
      <c r="J104" s="2" t="str">
        <f t="shared" si="17"/>
        <v>Koala Room</v>
      </c>
      <c r="K104" s="2">
        <f t="shared" si="22"/>
        <v>2</v>
      </c>
      <c r="L104" s="2" t="str">
        <f t="shared" si="23"/>
        <v>1011011</v>
      </c>
      <c r="M104" s="9">
        <f t="shared" si="18"/>
        <v>5670</v>
      </c>
      <c r="N104" s="9">
        <f t="shared" si="24"/>
        <v>0</v>
      </c>
      <c r="O104" s="9">
        <f t="shared" si="19"/>
        <v>4230</v>
      </c>
      <c r="P104" s="9">
        <f t="shared" si="20"/>
        <v>0</v>
      </c>
      <c r="Q104" s="10">
        <f t="shared" si="25"/>
        <v>9900</v>
      </c>
    </row>
    <row r="105" spans="1:17" hidden="1" x14ac:dyDescent="0.8">
      <c r="A105" s="2" t="s">
        <v>561</v>
      </c>
      <c r="B105" s="2" t="s">
        <v>291</v>
      </c>
      <c r="C105" s="2" t="s">
        <v>562</v>
      </c>
      <c r="D105" s="2" t="s">
        <v>292</v>
      </c>
      <c r="E105" s="2" t="s">
        <v>12</v>
      </c>
      <c r="F105" s="14">
        <v>41845</v>
      </c>
      <c r="G105" s="2" t="s">
        <v>563</v>
      </c>
      <c r="H105" s="13">
        <f t="shared" si="21"/>
        <v>3</v>
      </c>
      <c r="I105" s="2" t="str">
        <f t="shared" si="16"/>
        <v>Koala Room</v>
      </c>
      <c r="J105" s="2" t="str">
        <f t="shared" si="17"/>
        <v>Kangaroo Room</v>
      </c>
      <c r="K105" s="2">
        <f t="shared" si="22"/>
        <v>4</v>
      </c>
      <c r="L105" s="2" t="str">
        <f t="shared" si="23"/>
        <v>1100011</v>
      </c>
      <c r="M105" s="9">
        <f t="shared" si="18"/>
        <v>7650</v>
      </c>
      <c r="N105" s="9">
        <f t="shared" si="24"/>
        <v>2800</v>
      </c>
      <c r="O105" s="9">
        <f t="shared" si="19"/>
        <v>5695</v>
      </c>
      <c r="P105" s="9">
        <f t="shared" si="20"/>
        <v>2660</v>
      </c>
      <c r="Q105" s="10">
        <f t="shared" si="25"/>
        <v>18805</v>
      </c>
    </row>
    <row r="106" spans="1:17" hidden="1" x14ac:dyDescent="0.8">
      <c r="A106" s="2" t="s">
        <v>564</v>
      </c>
      <c r="B106" s="2" t="s">
        <v>291</v>
      </c>
      <c r="C106" s="2" t="s">
        <v>565</v>
      </c>
      <c r="D106" s="2" t="s">
        <v>292</v>
      </c>
      <c r="E106" s="2" t="s">
        <v>9</v>
      </c>
      <c r="F106" s="14">
        <v>42691</v>
      </c>
      <c r="G106" s="2" t="s">
        <v>563</v>
      </c>
      <c r="H106" s="13">
        <f t="shared" si="21"/>
        <v>1</v>
      </c>
      <c r="I106" s="2" t="str">
        <f t="shared" si="16"/>
        <v>Platypus Room</v>
      </c>
      <c r="J106" s="2" t="str">
        <f t="shared" si="17"/>
        <v>Emu Room</v>
      </c>
      <c r="K106" s="2">
        <f t="shared" si="22"/>
        <v>4</v>
      </c>
      <c r="L106" s="2" t="str">
        <f t="shared" si="23"/>
        <v>1100011</v>
      </c>
      <c r="M106" s="9">
        <f t="shared" si="18"/>
        <v>14740</v>
      </c>
      <c r="N106" s="9">
        <f t="shared" si="24"/>
        <v>5400</v>
      </c>
      <c r="O106" s="9">
        <f t="shared" si="19"/>
        <v>1785</v>
      </c>
      <c r="P106" s="9">
        <f t="shared" si="20"/>
        <v>5175</v>
      </c>
      <c r="Q106" s="10">
        <f t="shared" si="25"/>
        <v>27100</v>
      </c>
    </row>
    <row r="107" spans="1:17" hidden="1" x14ac:dyDescent="0.8">
      <c r="A107" s="2" t="s">
        <v>566</v>
      </c>
      <c r="B107" s="2" t="s">
        <v>295</v>
      </c>
      <c r="C107" s="2" t="s">
        <v>567</v>
      </c>
      <c r="D107" s="2" t="s">
        <v>296</v>
      </c>
      <c r="E107" s="2" t="s">
        <v>12</v>
      </c>
      <c r="F107" s="14">
        <v>42101</v>
      </c>
      <c r="G107" s="2" t="s">
        <v>429</v>
      </c>
      <c r="H107" s="13">
        <f t="shared" si="21"/>
        <v>2</v>
      </c>
      <c r="I107" s="2" t="str">
        <f t="shared" si="16"/>
        <v>Emu Room</v>
      </c>
      <c r="J107" s="2" t="str">
        <f t="shared" si="17"/>
        <v>Koala Room</v>
      </c>
      <c r="K107" s="2">
        <f t="shared" si="22"/>
        <v>3</v>
      </c>
      <c r="L107" s="2" t="str">
        <f t="shared" si="23"/>
        <v>0111011</v>
      </c>
      <c r="M107" s="9">
        <f t="shared" si="18"/>
        <v>2520</v>
      </c>
      <c r="N107" s="9">
        <f t="shared" si="24"/>
        <v>1495</v>
      </c>
      <c r="O107" s="9">
        <f t="shared" si="19"/>
        <v>6750</v>
      </c>
      <c r="P107" s="9">
        <f t="shared" si="20"/>
        <v>1300</v>
      </c>
      <c r="Q107" s="10">
        <f t="shared" si="25"/>
        <v>12065</v>
      </c>
    </row>
    <row r="108" spans="1:17" hidden="1" x14ac:dyDescent="0.8">
      <c r="A108" s="2" t="s">
        <v>568</v>
      </c>
      <c r="B108" s="2" t="s">
        <v>298</v>
      </c>
      <c r="C108" s="2" t="s">
        <v>569</v>
      </c>
      <c r="D108" s="2" t="s">
        <v>299</v>
      </c>
      <c r="E108" s="2" t="s">
        <v>12</v>
      </c>
      <c r="F108" s="14">
        <v>41243</v>
      </c>
      <c r="G108" s="2" t="s">
        <v>570</v>
      </c>
      <c r="H108" s="13">
        <f t="shared" si="21"/>
        <v>5</v>
      </c>
      <c r="I108" s="2" t="str">
        <f t="shared" si="16"/>
        <v>Kangaroo Room</v>
      </c>
      <c r="J108" s="2" t="str">
        <f t="shared" si="17"/>
        <v>NOT ALLOWED</v>
      </c>
      <c r="K108" s="2">
        <f t="shared" si="22"/>
        <v>4</v>
      </c>
      <c r="L108" s="2" t="str">
        <f t="shared" si="23"/>
        <v>0100011</v>
      </c>
      <c r="M108" s="9">
        <f t="shared" si="18"/>
        <v>14720</v>
      </c>
      <c r="N108" s="9">
        <f t="shared" si="24"/>
        <v>0</v>
      </c>
      <c r="O108" s="9">
        <f t="shared" si="19"/>
        <v>0</v>
      </c>
      <c r="P108" s="9">
        <f t="shared" si="20"/>
        <v>0</v>
      </c>
      <c r="Q108" s="10">
        <f t="shared" si="25"/>
        <v>14720</v>
      </c>
    </row>
    <row r="109" spans="1:17" x14ac:dyDescent="0.8">
      <c r="A109" s="2" t="s">
        <v>571</v>
      </c>
      <c r="B109" s="2" t="s">
        <v>301</v>
      </c>
      <c r="C109" s="2" t="s">
        <v>572</v>
      </c>
      <c r="D109" s="2" t="s">
        <v>302</v>
      </c>
      <c r="E109" s="2" t="s">
        <v>12</v>
      </c>
      <c r="F109" s="14">
        <v>41949</v>
      </c>
      <c r="G109" s="2" t="s">
        <v>573</v>
      </c>
      <c r="H109" s="13">
        <f t="shared" si="21"/>
        <v>3</v>
      </c>
      <c r="I109" s="2" t="str">
        <f t="shared" ref="I109:I128" si="26">IF(H109&lt;6,VLOOKUP(H109,Rooms,2,TRUE),"NOT ALLOWED")</f>
        <v>Koala Room</v>
      </c>
      <c r="J109" s="2" t="str">
        <f t="shared" ref="J109:J128" si="27">IF(H109+1&lt;6,VLOOKUP(H109+1,Rooms,2,TRUE),"NOT ALLOWED")</f>
        <v>Kangaroo Room</v>
      </c>
      <c r="K109" s="2">
        <f t="shared" si="22"/>
        <v>6</v>
      </c>
      <c r="L109" s="2" t="str">
        <f t="shared" si="23"/>
        <v>0000011</v>
      </c>
      <c r="M109" s="9">
        <f t="shared" ref="M109:M128" si="28">IF(H109&lt;6,
(NETWORKDAYS.INTL(DATE(2018,1,1),DATE(2018,MONTH(F109),DAY(F109)),L109,Holidays)) *
VLOOKUP(H109,CareCosts,2),
0)</f>
        <v>19260</v>
      </c>
      <c r="N109" s="9">
        <f t="shared" si="24"/>
        <v>4300</v>
      </c>
      <c r="O109" s="9">
        <f t="shared" ref="O109:O128" si="29">IF(H109+1&lt;6,
(NETWORKDAYS.INTL(DATE(2018,MONTH(F109),DAY(F109)),DATE(2018,12,31),L109,Holidays)) *
VLOOKUP(H109+1,CareCosts,2),0)</f>
        <v>3230</v>
      </c>
      <c r="P109" s="9">
        <f t="shared" ref="P109:P128" si="30">IF(H109+1&lt;6,
(NETWORKDAYS.INTL(DATE(2018,1,1),DATE(2018,MONTH(F109),DAY(F109)),IF(ISNUMBER(SEARCH("sat",G109)),"1111101","1111111"),Holidays)) *
(VLOOKUP(H109+1,CareCosts,2)+ SaturdayPenalty),
0)</f>
        <v>4085</v>
      </c>
      <c r="Q109" s="10">
        <f t="shared" si="25"/>
        <v>30875</v>
      </c>
    </row>
    <row r="110" spans="1:17" x14ac:dyDescent="0.8">
      <c r="A110" s="2" t="s">
        <v>574</v>
      </c>
      <c r="B110" s="2" t="s">
        <v>301</v>
      </c>
      <c r="C110" s="2" t="s">
        <v>575</v>
      </c>
      <c r="D110" s="2" t="s">
        <v>302</v>
      </c>
      <c r="E110" s="2" t="s">
        <v>9</v>
      </c>
      <c r="F110" s="14">
        <v>42790</v>
      </c>
      <c r="G110" s="2" t="s">
        <v>573</v>
      </c>
      <c r="H110" s="13">
        <f t="shared" si="21"/>
        <v>0</v>
      </c>
      <c r="I110" s="2" t="str">
        <f t="shared" si="26"/>
        <v>Platypus Room</v>
      </c>
      <c r="J110" s="2" t="str">
        <f t="shared" si="27"/>
        <v>Platypus Room</v>
      </c>
      <c r="K110" s="2">
        <f t="shared" si="22"/>
        <v>6</v>
      </c>
      <c r="L110" s="2" t="str">
        <f t="shared" si="23"/>
        <v>0000011</v>
      </c>
      <c r="M110" s="9">
        <f t="shared" si="28"/>
        <v>4560</v>
      </c>
      <c r="N110" s="9">
        <f t="shared" ref="N110:N128" si="31">IF(H110&lt;6,
(NETWORKDAYS.INTL(DATE(2018,1,1),DATE(2018,MONTH(F110),DAY(F110)+1),IF(ISNUMBER(SEARCH("sat",G110)),"1111101","1111111"),Holidays)) *
(VLOOKUP(H110,CareCosts,2)+ SaturdayPenalty),
0)</f>
        <v>1040</v>
      </c>
      <c r="O110" s="9">
        <f t="shared" si="29"/>
        <v>23430</v>
      </c>
      <c r="P110" s="9">
        <f t="shared" si="30"/>
        <v>960</v>
      </c>
      <c r="Q110" s="10">
        <f t="shared" si="25"/>
        <v>29990</v>
      </c>
    </row>
    <row r="111" spans="1:17" x14ac:dyDescent="0.8">
      <c r="A111" s="2" t="s">
        <v>576</v>
      </c>
      <c r="B111" s="2" t="s">
        <v>306</v>
      </c>
      <c r="C111" s="2" t="s">
        <v>577</v>
      </c>
      <c r="D111" s="2" t="s">
        <v>307</v>
      </c>
      <c r="E111" s="2" t="s">
        <v>12</v>
      </c>
      <c r="F111" s="14">
        <v>42813</v>
      </c>
      <c r="G111" s="2" t="s">
        <v>378</v>
      </c>
      <c r="H111" s="13">
        <f t="shared" si="21"/>
        <v>0</v>
      </c>
      <c r="I111" s="2" t="str">
        <f t="shared" si="26"/>
        <v>Platypus Room</v>
      </c>
      <c r="J111" s="2" t="str">
        <f t="shared" si="27"/>
        <v>Platypus Room</v>
      </c>
      <c r="K111" s="2">
        <f t="shared" si="22"/>
        <v>5</v>
      </c>
      <c r="L111" s="2" t="str">
        <f t="shared" si="23"/>
        <v>1000011</v>
      </c>
      <c r="M111" s="9">
        <f t="shared" si="28"/>
        <v>5160</v>
      </c>
      <c r="N111" s="9">
        <f t="shared" si="31"/>
        <v>1430</v>
      </c>
      <c r="O111" s="9">
        <f t="shared" si="29"/>
        <v>17490</v>
      </c>
      <c r="P111" s="9">
        <f t="shared" si="30"/>
        <v>1320</v>
      </c>
      <c r="Q111" s="10">
        <f t="shared" si="25"/>
        <v>25400</v>
      </c>
    </row>
    <row r="112" spans="1:17" x14ac:dyDescent="0.8">
      <c r="A112" s="2" t="s">
        <v>578</v>
      </c>
      <c r="B112" s="2" t="s">
        <v>306</v>
      </c>
      <c r="C112" s="2" t="s">
        <v>579</v>
      </c>
      <c r="D112" s="2" t="s">
        <v>307</v>
      </c>
      <c r="E112" s="2" t="s">
        <v>9</v>
      </c>
      <c r="F112" s="14">
        <v>42813</v>
      </c>
      <c r="G112" s="2" t="s">
        <v>378</v>
      </c>
      <c r="H112" s="13">
        <f t="shared" si="21"/>
        <v>0</v>
      </c>
      <c r="I112" s="2" t="str">
        <f t="shared" si="26"/>
        <v>Platypus Room</v>
      </c>
      <c r="J112" s="2" t="str">
        <f t="shared" si="27"/>
        <v>Platypus Room</v>
      </c>
      <c r="K112" s="2">
        <f t="shared" si="22"/>
        <v>5</v>
      </c>
      <c r="L112" s="2" t="str">
        <f t="shared" si="23"/>
        <v>1000011</v>
      </c>
      <c r="M112" s="9">
        <f t="shared" si="28"/>
        <v>5160</v>
      </c>
      <c r="N112" s="9">
        <f t="shared" si="31"/>
        <v>1430</v>
      </c>
      <c r="O112" s="9">
        <f t="shared" si="29"/>
        <v>17490</v>
      </c>
      <c r="P112" s="9">
        <f t="shared" si="30"/>
        <v>1320</v>
      </c>
      <c r="Q112" s="10">
        <f t="shared" si="25"/>
        <v>25400</v>
      </c>
    </row>
    <row r="113" spans="1:17" x14ac:dyDescent="0.8">
      <c r="A113" s="2" t="s">
        <v>580</v>
      </c>
      <c r="B113" s="2" t="s">
        <v>310</v>
      </c>
      <c r="C113" s="2" t="s">
        <v>581</v>
      </c>
      <c r="D113" s="2" t="s">
        <v>311</v>
      </c>
      <c r="E113" s="2" t="s">
        <v>12</v>
      </c>
      <c r="F113" s="14">
        <v>41637</v>
      </c>
      <c r="G113" s="2" t="s">
        <v>573</v>
      </c>
      <c r="H113" s="13">
        <f t="shared" si="21"/>
        <v>4</v>
      </c>
      <c r="I113" s="2" t="str">
        <f t="shared" si="26"/>
        <v>Kangaroo Room</v>
      </c>
      <c r="J113" s="2" t="str">
        <f t="shared" si="27"/>
        <v>Kangaroo Room</v>
      </c>
      <c r="K113" s="2">
        <f t="shared" si="22"/>
        <v>6</v>
      </c>
      <c r="L113" s="2" t="str">
        <f t="shared" si="23"/>
        <v>0000011</v>
      </c>
      <c r="M113" s="9">
        <f t="shared" si="28"/>
        <v>21250</v>
      </c>
      <c r="N113" s="9">
        <f t="shared" si="31"/>
        <v>4845</v>
      </c>
      <c r="O113" s="9">
        <f t="shared" si="29"/>
        <v>80</v>
      </c>
      <c r="P113" s="9">
        <f t="shared" si="30"/>
        <v>4590</v>
      </c>
      <c r="Q113" s="10">
        <f t="shared" si="25"/>
        <v>30765</v>
      </c>
    </row>
    <row r="114" spans="1:17" x14ac:dyDescent="0.8">
      <c r="A114" s="2" t="s">
        <v>582</v>
      </c>
      <c r="B114" s="2" t="s">
        <v>310</v>
      </c>
      <c r="C114" s="2" t="s">
        <v>583</v>
      </c>
      <c r="D114" s="2" t="s">
        <v>311</v>
      </c>
      <c r="E114" s="2" t="s">
        <v>9</v>
      </c>
      <c r="F114" s="14">
        <v>42191</v>
      </c>
      <c r="G114" s="2" t="s">
        <v>573</v>
      </c>
      <c r="H114" s="13">
        <f t="shared" si="21"/>
        <v>2</v>
      </c>
      <c r="I114" s="2" t="str">
        <f t="shared" si="26"/>
        <v>Emu Room</v>
      </c>
      <c r="J114" s="2" t="str">
        <f t="shared" si="27"/>
        <v>Koala Room</v>
      </c>
      <c r="K114" s="2">
        <f t="shared" si="22"/>
        <v>6</v>
      </c>
      <c r="L114" s="2" t="str">
        <f t="shared" si="23"/>
        <v>0000011</v>
      </c>
      <c r="M114" s="9">
        <f t="shared" si="28"/>
        <v>13545</v>
      </c>
      <c r="N114" s="9">
        <f t="shared" si="31"/>
        <v>2990</v>
      </c>
      <c r="O114" s="9">
        <f t="shared" si="29"/>
        <v>11070</v>
      </c>
      <c r="P114" s="9">
        <f t="shared" si="30"/>
        <v>2500</v>
      </c>
      <c r="Q114" s="10">
        <f t="shared" si="25"/>
        <v>30105</v>
      </c>
    </row>
    <row r="115" spans="1:17" x14ac:dyDescent="0.8">
      <c r="A115" s="2" t="s">
        <v>584</v>
      </c>
      <c r="B115" s="2" t="s">
        <v>310</v>
      </c>
      <c r="C115" s="2" t="s">
        <v>585</v>
      </c>
      <c r="D115" s="2" t="s">
        <v>311</v>
      </c>
      <c r="E115" s="2" t="s">
        <v>12</v>
      </c>
      <c r="F115" s="14">
        <v>42994</v>
      </c>
      <c r="G115" s="2" t="s">
        <v>573</v>
      </c>
      <c r="H115" s="13">
        <f t="shared" si="21"/>
        <v>0</v>
      </c>
      <c r="I115" s="2" t="str">
        <f t="shared" si="26"/>
        <v>Platypus Room</v>
      </c>
      <c r="J115" s="2" t="str">
        <f t="shared" si="27"/>
        <v>Platypus Room</v>
      </c>
      <c r="K115" s="2">
        <f t="shared" si="22"/>
        <v>6</v>
      </c>
      <c r="L115" s="2" t="str">
        <f t="shared" si="23"/>
        <v>0000011</v>
      </c>
      <c r="M115" s="9">
        <f t="shared" si="28"/>
        <v>21360</v>
      </c>
      <c r="N115" s="9">
        <f t="shared" si="31"/>
        <v>4680</v>
      </c>
      <c r="O115" s="9">
        <f t="shared" si="29"/>
        <v>8030</v>
      </c>
      <c r="P115" s="9">
        <f t="shared" si="30"/>
        <v>4320</v>
      </c>
      <c r="Q115" s="10">
        <f t="shared" si="25"/>
        <v>38390</v>
      </c>
    </row>
    <row r="116" spans="1:17" hidden="1" x14ac:dyDescent="0.8">
      <c r="A116" s="2" t="s">
        <v>586</v>
      </c>
      <c r="B116" s="2" t="s">
        <v>314</v>
      </c>
      <c r="C116" s="2" t="s">
        <v>587</v>
      </c>
      <c r="D116" s="2" t="s">
        <v>315</v>
      </c>
      <c r="E116" s="2" t="s">
        <v>12</v>
      </c>
      <c r="F116" s="14">
        <v>41410</v>
      </c>
      <c r="G116" s="2" t="s">
        <v>452</v>
      </c>
      <c r="H116" s="13">
        <f t="shared" si="21"/>
        <v>4</v>
      </c>
      <c r="I116" s="2" t="str">
        <f t="shared" si="26"/>
        <v>Kangaroo Room</v>
      </c>
      <c r="J116" s="2" t="str">
        <f t="shared" si="27"/>
        <v>Kangaroo Room</v>
      </c>
      <c r="K116" s="2">
        <f t="shared" si="22"/>
        <v>4</v>
      </c>
      <c r="L116" s="2" t="str">
        <f t="shared" si="23"/>
        <v>1000011</v>
      </c>
      <c r="M116" s="9">
        <f t="shared" si="28"/>
        <v>6375</v>
      </c>
      <c r="N116" s="9">
        <f t="shared" si="31"/>
        <v>0</v>
      </c>
      <c r="O116" s="9">
        <f t="shared" si="29"/>
        <v>10240</v>
      </c>
      <c r="P116" s="9">
        <f t="shared" si="30"/>
        <v>0</v>
      </c>
      <c r="Q116" s="10">
        <f t="shared" si="25"/>
        <v>16615</v>
      </c>
    </row>
    <row r="117" spans="1:17" hidden="1" x14ac:dyDescent="0.8">
      <c r="A117" s="2" t="s">
        <v>588</v>
      </c>
      <c r="B117" s="2" t="s">
        <v>314</v>
      </c>
      <c r="C117" s="2" t="s">
        <v>589</v>
      </c>
      <c r="D117" s="2" t="s">
        <v>315</v>
      </c>
      <c r="E117" s="2" t="s">
        <v>9</v>
      </c>
      <c r="F117" s="14">
        <v>42185</v>
      </c>
      <c r="G117" s="2" t="s">
        <v>452</v>
      </c>
      <c r="H117" s="13">
        <f t="shared" si="21"/>
        <v>2</v>
      </c>
      <c r="I117" s="2" t="str">
        <f t="shared" si="26"/>
        <v>Emu Room</v>
      </c>
      <c r="J117" s="2" t="str">
        <f t="shared" si="27"/>
        <v>Koala Room</v>
      </c>
      <c r="K117" s="2">
        <f t="shared" si="22"/>
        <v>4</v>
      </c>
      <c r="L117" s="2" t="str">
        <f t="shared" si="23"/>
        <v>1000011</v>
      </c>
      <c r="M117" s="9">
        <f t="shared" si="28"/>
        <v>10605</v>
      </c>
      <c r="N117" s="9">
        <f t="shared" si="31"/>
        <v>0</v>
      </c>
      <c r="O117" s="9">
        <f t="shared" si="29"/>
        <v>9090</v>
      </c>
      <c r="P117" s="9">
        <f t="shared" si="30"/>
        <v>0</v>
      </c>
      <c r="Q117" s="10">
        <f t="shared" si="25"/>
        <v>19695</v>
      </c>
    </row>
    <row r="118" spans="1:17" hidden="1" x14ac:dyDescent="0.8">
      <c r="A118" s="2" t="s">
        <v>590</v>
      </c>
      <c r="B118" s="2" t="s">
        <v>319</v>
      </c>
      <c r="C118" s="2" t="s">
        <v>545</v>
      </c>
      <c r="D118" s="2" t="s">
        <v>320</v>
      </c>
      <c r="E118" s="2" t="s">
        <v>12</v>
      </c>
      <c r="F118" s="14">
        <v>42525</v>
      </c>
      <c r="G118" s="2" t="s">
        <v>548</v>
      </c>
      <c r="H118" s="13">
        <f t="shared" si="21"/>
        <v>1</v>
      </c>
      <c r="I118" s="2" t="str">
        <f t="shared" si="26"/>
        <v>Platypus Room</v>
      </c>
      <c r="J118" s="2" t="str">
        <f t="shared" si="27"/>
        <v>Emu Room</v>
      </c>
      <c r="K118" s="2">
        <f t="shared" si="22"/>
        <v>3</v>
      </c>
      <c r="L118" s="2" t="str">
        <f t="shared" si="23"/>
        <v>0100111</v>
      </c>
      <c r="M118" s="9">
        <f t="shared" si="28"/>
        <v>6930</v>
      </c>
      <c r="N118" s="9">
        <f t="shared" si="31"/>
        <v>0</v>
      </c>
      <c r="O118" s="9">
        <f t="shared" si="29"/>
        <v>9240</v>
      </c>
      <c r="P118" s="9">
        <f t="shared" si="30"/>
        <v>0</v>
      </c>
      <c r="Q118" s="10">
        <f t="shared" si="25"/>
        <v>16170</v>
      </c>
    </row>
    <row r="119" spans="1:17" hidden="1" x14ac:dyDescent="0.8">
      <c r="A119" s="2" t="s">
        <v>591</v>
      </c>
      <c r="B119" s="2" t="s">
        <v>323</v>
      </c>
      <c r="C119" s="2" t="s">
        <v>592</v>
      </c>
      <c r="D119" s="2" t="s">
        <v>324</v>
      </c>
      <c r="E119" s="2" t="s">
        <v>12</v>
      </c>
      <c r="F119" s="14">
        <v>42031</v>
      </c>
      <c r="G119" s="2" t="s">
        <v>593</v>
      </c>
      <c r="H119" s="13">
        <f t="shared" si="21"/>
        <v>2</v>
      </c>
      <c r="I119" s="2" t="str">
        <f t="shared" si="26"/>
        <v>Emu Room</v>
      </c>
      <c r="J119" s="2" t="str">
        <f t="shared" si="27"/>
        <v>Koala Room</v>
      </c>
      <c r="K119" s="2">
        <f t="shared" si="22"/>
        <v>3</v>
      </c>
      <c r="L119" s="2" t="str">
        <f t="shared" si="23"/>
        <v>1000111</v>
      </c>
      <c r="M119" s="9">
        <f t="shared" si="28"/>
        <v>1260</v>
      </c>
      <c r="N119" s="9">
        <f t="shared" si="31"/>
        <v>0</v>
      </c>
      <c r="O119" s="9">
        <f t="shared" si="29"/>
        <v>12600</v>
      </c>
      <c r="P119" s="9">
        <f t="shared" si="30"/>
        <v>0</v>
      </c>
      <c r="Q119" s="10">
        <f t="shared" si="25"/>
        <v>13860</v>
      </c>
    </row>
    <row r="120" spans="1:17" hidden="1" x14ac:dyDescent="0.8">
      <c r="A120" s="2" t="s">
        <v>594</v>
      </c>
      <c r="B120" s="2" t="s">
        <v>328</v>
      </c>
      <c r="C120" s="2" t="s">
        <v>460</v>
      </c>
      <c r="D120" s="2" t="s">
        <v>329</v>
      </c>
      <c r="E120" s="2" t="s">
        <v>12</v>
      </c>
      <c r="F120" s="14">
        <v>42303</v>
      </c>
      <c r="G120" s="2" t="s">
        <v>535</v>
      </c>
      <c r="H120" s="13">
        <f t="shared" si="21"/>
        <v>2</v>
      </c>
      <c r="I120" s="2" t="str">
        <f t="shared" si="26"/>
        <v>Emu Room</v>
      </c>
      <c r="J120" s="2" t="str">
        <f t="shared" si="27"/>
        <v>Koala Room</v>
      </c>
      <c r="K120" s="2">
        <f t="shared" si="22"/>
        <v>2</v>
      </c>
      <c r="L120" s="2" t="str">
        <f t="shared" si="23"/>
        <v>0011111</v>
      </c>
      <c r="M120" s="9">
        <f t="shared" si="28"/>
        <v>8610</v>
      </c>
      <c r="N120" s="9">
        <f t="shared" si="31"/>
        <v>0</v>
      </c>
      <c r="O120" s="9">
        <f t="shared" si="29"/>
        <v>1620</v>
      </c>
      <c r="P120" s="9">
        <f t="shared" si="30"/>
        <v>0</v>
      </c>
      <c r="Q120" s="10">
        <f t="shared" si="25"/>
        <v>10230</v>
      </c>
    </row>
    <row r="121" spans="1:17" hidden="1" x14ac:dyDescent="0.8">
      <c r="A121" s="2" t="s">
        <v>595</v>
      </c>
      <c r="B121" s="2" t="s">
        <v>333</v>
      </c>
      <c r="C121" s="2" t="s">
        <v>596</v>
      </c>
      <c r="D121" s="2" t="s">
        <v>22</v>
      </c>
      <c r="E121" s="2" t="s">
        <v>12</v>
      </c>
      <c r="F121" s="14">
        <v>42112</v>
      </c>
      <c r="G121" s="2" t="s">
        <v>597</v>
      </c>
      <c r="H121" s="13">
        <f t="shared" si="21"/>
        <v>2</v>
      </c>
      <c r="I121" s="2" t="str">
        <f t="shared" si="26"/>
        <v>Emu Room</v>
      </c>
      <c r="J121" s="2" t="str">
        <f t="shared" si="27"/>
        <v>Koala Room</v>
      </c>
      <c r="K121" s="2">
        <f t="shared" si="22"/>
        <v>1</v>
      </c>
      <c r="L121" s="2" t="str">
        <f t="shared" si="23"/>
        <v>1101111</v>
      </c>
      <c r="M121" s="9">
        <f t="shared" si="28"/>
        <v>1680</v>
      </c>
      <c r="N121" s="9">
        <f t="shared" si="31"/>
        <v>0</v>
      </c>
      <c r="O121" s="9">
        <f t="shared" si="29"/>
        <v>3060</v>
      </c>
      <c r="P121" s="9">
        <f t="shared" si="30"/>
        <v>0</v>
      </c>
      <c r="Q121" s="10">
        <f t="shared" si="25"/>
        <v>4740</v>
      </c>
    </row>
    <row r="122" spans="1:17" hidden="1" x14ac:dyDescent="0.8">
      <c r="A122" s="2" t="s">
        <v>598</v>
      </c>
      <c r="B122" s="2" t="s">
        <v>337</v>
      </c>
      <c r="C122" s="2" t="s">
        <v>154</v>
      </c>
      <c r="D122" s="2" t="s">
        <v>338</v>
      </c>
      <c r="E122" s="2" t="s">
        <v>9</v>
      </c>
      <c r="F122" s="14">
        <v>42237</v>
      </c>
      <c r="G122" s="2" t="s">
        <v>386</v>
      </c>
      <c r="H122" s="13">
        <f t="shared" si="21"/>
        <v>2</v>
      </c>
      <c r="I122" s="2" t="str">
        <f t="shared" si="26"/>
        <v>Emu Room</v>
      </c>
      <c r="J122" s="2" t="str">
        <f t="shared" si="27"/>
        <v>Koala Room</v>
      </c>
      <c r="K122" s="2">
        <f t="shared" si="22"/>
        <v>3</v>
      </c>
      <c r="L122" s="2" t="str">
        <f t="shared" si="23"/>
        <v>0110011</v>
      </c>
      <c r="M122" s="9">
        <f t="shared" si="28"/>
        <v>9975</v>
      </c>
      <c r="N122" s="9">
        <f t="shared" si="31"/>
        <v>0</v>
      </c>
      <c r="O122" s="9">
        <f t="shared" si="29"/>
        <v>5040</v>
      </c>
      <c r="P122" s="9">
        <f t="shared" si="30"/>
        <v>0</v>
      </c>
      <c r="Q122" s="10">
        <f t="shared" si="25"/>
        <v>15015</v>
      </c>
    </row>
    <row r="123" spans="1:17" hidden="1" x14ac:dyDescent="0.8">
      <c r="A123" s="2" t="s">
        <v>599</v>
      </c>
      <c r="B123" s="2" t="s">
        <v>339</v>
      </c>
      <c r="C123" s="2" t="s">
        <v>600</v>
      </c>
      <c r="D123" s="2" t="s">
        <v>340</v>
      </c>
      <c r="E123" s="2" t="s">
        <v>12</v>
      </c>
      <c r="F123" s="14">
        <v>42200</v>
      </c>
      <c r="G123" s="2" t="s">
        <v>484</v>
      </c>
      <c r="H123" s="13">
        <f t="shared" si="21"/>
        <v>2</v>
      </c>
      <c r="I123" s="2" t="str">
        <f t="shared" si="26"/>
        <v>Emu Room</v>
      </c>
      <c r="J123" s="2" t="str">
        <f t="shared" si="27"/>
        <v>Koala Room</v>
      </c>
      <c r="K123" s="2">
        <f t="shared" si="22"/>
        <v>3</v>
      </c>
      <c r="L123" s="2" t="str">
        <f t="shared" si="23"/>
        <v>1110011</v>
      </c>
      <c r="M123" s="9">
        <f t="shared" si="28"/>
        <v>5670</v>
      </c>
      <c r="N123" s="9">
        <f t="shared" si="31"/>
        <v>3105</v>
      </c>
      <c r="O123" s="9">
        <f t="shared" si="29"/>
        <v>4320</v>
      </c>
      <c r="P123" s="9">
        <f t="shared" si="30"/>
        <v>2700</v>
      </c>
      <c r="Q123" s="10">
        <f t="shared" si="25"/>
        <v>15795</v>
      </c>
    </row>
    <row r="124" spans="1:17" hidden="1" x14ac:dyDescent="0.8">
      <c r="A124" s="2" t="s">
        <v>601</v>
      </c>
      <c r="B124" s="2" t="s">
        <v>339</v>
      </c>
      <c r="C124" s="2" t="s">
        <v>602</v>
      </c>
      <c r="D124" s="2" t="s">
        <v>340</v>
      </c>
      <c r="E124" s="2" t="s">
        <v>9</v>
      </c>
      <c r="F124" s="14">
        <v>42200</v>
      </c>
      <c r="G124" s="2" t="s">
        <v>484</v>
      </c>
      <c r="H124" s="13">
        <f t="shared" si="21"/>
        <v>2</v>
      </c>
      <c r="I124" s="2" t="str">
        <f t="shared" si="26"/>
        <v>Emu Room</v>
      </c>
      <c r="J124" s="2" t="str">
        <f t="shared" si="27"/>
        <v>Koala Room</v>
      </c>
      <c r="K124" s="2">
        <f t="shared" si="22"/>
        <v>3</v>
      </c>
      <c r="L124" s="2" t="str">
        <f t="shared" si="23"/>
        <v>1110011</v>
      </c>
      <c r="M124" s="9">
        <f t="shared" si="28"/>
        <v>5670</v>
      </c>
      <c r="N124" s="9">
        <f t="shared" si="31"/>
        <v>3105</v>
      </c>
      <c r="O124" s="9">
        <f t="shared" si="29"/>
        <v>4320</v>
      </c>
      <c r="P124" s="9">
        <f t="shared" si="30"/>
        <v>2700</v>
      </c>
      <c r="Q124" s="10">
        <f t="shared" si="25"/>
        <v>15795</v>
      </c>
    </row>
    <row r="125" spans="1:17" x14ac:dyDescent="0.8">
      <c r="A125" s="2" t="s">
        <v>603</v>
      </c>
      <c r="B125" s="2" t="s">
        <v>344</v>
      </c>
      <c r="C125" s="2" t="s">
        <v>604</v>
      </c>
      <c r="D125" s="2" t="s">
        <v>345</v>
      </c>
      <c r="E125" s="2" t="s">
        <v>9</v>
      </c>
      <c r="F125" s="14">
        <v>41402</v>
      </c>
      <c r="G125" s="2" t="s">
        <v>410</v>
      </c>
      <c r="H125" s="13">
        <f t="shared" si="21"/>
        <v>4</v>
      </c>
      <c r="I125" s="2" t="str">
        <f t="shared" si="26"/>
        <v>Kangaroo Room</v>
      </c>
      <c r="J125" s="2" t="str">
        <f t="shared" si="27"/>
        <v>Kangaroo Room</v>
      </c>
      <c r="K125" s="2">
        <f t="shared" si="22"/>
        <v>5</v>
      </c>
      <c r="L125" s="2" t="str">
        <f t="shared" si="23"/>
        <v>0010011</v>
      </c>
      <c r="M125" s="9">
        <f t="shared" si="28"/>
        <v>5865</v>
      </c>
      <c r="N125" s="9">
        <f t="shared" si="31"/>
        <v>1615</v>
      </c>
      <c r="O125" s="9">
        <f t="shared" si="29"/>
        <v>10720</v>
      </c>
      <c r="P125" s="9">
        <f t="shared" si="30"/>
        <v>1530</v>
      </c>
      <c r="Q125" s="10">
        <f t="shared" si="25"/>
        <v>19730</v>
      </c>
    </row>
    <row r="126" spans="1:17" x14ac:dyDescent="0.8">
      <c r="A126" s="2" t="s">
        <v>605</v>
      </c>
      <c r="B126" s="2" t="s">
        <v>344</v>
      </c>
      <c r="C126" s="2" t="s">
        <v>606</v>
      </c>
      <c r="D126" s="2" t="s">
        <v>345</v>
      </c>
      <c r="E126" s="2" t="s">
        <v>12</v>
      </c>
      <c r="F126" s="14">
        <v>41402</v>
      </c>
      <c r="G126" s="2" t="s">
        <v>410</v>
      </c>
      <c r="H126" s="13">
        <f t="shared" si="21"/>
        <v>4</v>
      </c>
      <c r="I126" s="2" t="str">
        <f t="shared" si="26"/>
        <v>Kangaroo Room</v>
      </c>
      <c r="J126" s="2" t="str">
        <f t="shared" si="27"/>
        <v>Kangaroo Room</v>
      </c>
      <c r="K126" s="2">
        <f t="shared" si="22"/>
        <v>5</v>
      </c>
      <c r="L126" s="2" t="str">
        <f t="shared" si="23"/>
        <v>0010011</v>
      </c>
      <c r="M126" s="9">
        <f t="shared" si="28"/>
        <v>5865</v>
      </c>
      <c r="N126" s="9">
        <f t="shared" si="31"/>
        <v>1615</v>
      </c>
      <c r="O126" s="9">
        <f t="shared" si="29"/>
        <v>10720</v>
      </c>
      <c r="P126" s="9">
        <f t="shared" si="30"/>
        <v>1530</v>
      </c>
      <c r="Q126" s="10">
        <f t="shared" si="25"/>
        <v>19730</v>
      </c>
    </row>
    <row r="127" spans="1:17" x14ac:dyDescent="0.8">
      <c r="A127" s="2" t="s">
        <v>607</v>
      </c>
      <c r="B127" s="2" t="s">
        <v>344</v>
      </c>
      <c r="C127" s="2" t="s">
        <v>608</v>
      </c>
      <c r="D127" s="2" t="s">
        <v>345</v>
      </c>
      <c r="E127" s="2" t="s">
        <v>9</v>
      </c>
      <c r="F127" s="14">
        <v>41402</v>
      </c>
      <c r="G127" s="2" t="s">
        <v>410</v>
      </c>
      <c r="H127" s="13">
        <f t="shared" si="21"/>
        <v>4</v>
      </c>
      <c r="I127" s="2" t="str">
        <f t="shared" si="26"/>
        <v>Kangaroo Room</v>
      </c>
      <c r="J127" s="2" t="str">
        <f t="shared" si="27"/>
        <v>Kangaroo Room</v>
      </c>
      <c r="K127" s="2">
        <f t="shared" si="22"/>
        <v>5</v>
      </c>
      <c r="L127" s="2" t="str">
        <f t="shared" si="23"/>
        <v>0010011</v>
      </c>
      <c r="M127" s="9">
        <f t="shared" si="28"/>
        <v>5865</v>
      </c>
      <c r="N127" s="9">
        <f t="shared" si="31"/>
        <v>1615</v>
      </c>
      <c r="O127" s="9">
        <f t="shared" si="29"/>
        <v>10720</v>
      </c>
      <c r="P127" s="9">
        <f t="shared" si="30"/>
        <v>1530</v>
      </c>
      <c r="Q127" s="10">
        <f t="shared" si="25"/>
        <v>19730</v>
      </c>
    </row>
    <row r="128" spans="1:17" x14ac:dyDescent="0.8">
      <c r="A128" s="2" t="s">
        <v>609</v>
      </c>
      <c r="B128" s="2" t="s">
        <v>344</v>
      </c>
      <c r="C128" s="2" t="s">
        <v>610</v>
      </c>
      <c r="D128" s="2" t="s">
        <v>345</v>
      </c>
      <c r="E128" s="2" t="s">
        <v>9</v>
      </c>
      <c r="F128" s="14">
        <v>43055</v>
      </c>
      <c r="G128" s="2" t="s">
        <v>410</v>
      </c>
      <c r="H128" s="13">
        <f t="shared" si="21"/>
        <v>0</v>
      </c>
      <c r="I128" s="2" t="str">
        <f t="shared" si="26"/>
        <v>Platypus Room</v>
      </c>
      <c r="J128" s="2" t="str">
        <f t="shared" si="27"/>
        <v>Platypus Room</v>
      </c>
      <c r="K128" s="2">
        <f t="shared" si="22"/>
        <v>5</v>
      </c>
      <c r="L128" s="2" t="str">
        <f t="shared" si="23"/>
        <v>0010011</v>
      </c>
      <c r="M128" s="9">
        <f t="shared" si="28"/>
        <v>21360</v>
      </c>
      <c r="N128" s="9">
        <f t="shared" si="31"/>
        <v>5850</v>
      </c>
      <c r="O128" s="9">
        <f t="shared" si="29"/>
        <v>2750</v>
      </c>
      <c r="P128" s="9">
        <f t="shared" si="30"/>
        <v>5280</v>
      </c>
      <c r="Q128" s="10">
        <f t="shared" si="25"/>
        <v>35240</v>
      </c>
    </row>
    <row r="129" spans="17:17" x14ac:dyDescent="0.8">
      <c r="Q129" s="34"/>
    </row>
  </sheetData>
  <mergeCells count="1">
    <mergeCell ref="A1:Q1"/>
  </mergeCells>
  <conditionalFormatting sqref="A13:Q128">
    <cfRule type="expression" dxfId="0" priority="1">
      <formula>$I13=$J13</formula>
    </cfRule>
  </conditionalFormatting>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F16E8-4D84-41DB-AEB1-82D3E2B82B6D}">
  <dimension ref="A3:D15"/>
  <sheetViews>
    <sheetView zoomScale="55" zoomScaleNormal="55" workbookViewId="0">
      <selection activeCell="C16" sqref="C16"/>
    </sheetView>
  </sheetViews>
  <sheetFormatPr defaultRowHeight="16" x14ac:dyDescent="0.8"/>
  <cols>
    <col min="1" max="1" width="29.4140625" customWidth="1"/>
    <col min="2" max="2" width="10.45703125" customWidth="1"/>
    <col min="3" max="3" width="4.75" bestFit="1" customWidth="1"/>
    <col min="4" max="4" width="10.1640625" bestFit="1" customWidth="1"/>
  </cols>
  <sheetData>
    <row r="3" spans="1:4" x14ac:dyDescent="0.8">
      <c r="A3" s="29" t="s">
        <v>711</v>
      </c>
      <c r="B3" s="29" t="s">
        <v>710</v>
      </c>
    </row>
    <row r="4" spans="1:4" x14ac:dyDescent="0.8">
      <c r="A4" s="29" t="s">
        <v>612</v>
      </c>
      <c r="B4" t="s">
        <v>9</v>
      </c>
      <c r="C4" t="s">
        <v>12</v>
      </c>
      <c r="D4" t="s">
        <v>709</v>
      </c>
    </row>
    <row r="5" spans="1:4" x14ac:dyDescent="0.8">
      <c r="A5" s="30" t="s">
        <v>706</v>
      </c>
      <c r="B5" s="31">
        <v>15</v>
      </c>
      <c r="C5" s="31">
        <v>16</v>
      </c>
      <c r="D5" s="31">
        <v>31</v>
      </c>
    </row>
    <row r="6" spans="1:4" x14ac:dyDescent="0.8">
      <c r="A6" s="32">
        <v>2</v>
      </c>
      <c r="B6" s="31">
        <v>15</v>
      </c>
      <c r="C6" s="31">
        <v>16</v>
      </c>
      <c r="D6" s="31">
        <v>31</v>
      </c>
    </row>
    <row r="7" spans="1:4" x14ac:dyDescent="0.8">
      <c r="A7" s="30" t="s">
        <v>708</v>
      </c>
      <c r="B7" s="31">
        <v>11</v>
      </c>
      <c r="C7" s="31">
        <v>17</v>
      </c>
      <c r="D7" s="31">
        <v>28</v>
      </c>
    </row>
    <row r="8" spans="1:4" x14ac:dyDescent="0.8">
      <c r="A8" s="32">
        <v>4</v>
      </c>
      <c r="B8" s="31">
        <v>10</v>
      </c>
      <c r="C8" s="31">
        <v>15</v>
      </c>
      <c r="D8" s="31">
        <v>25</v>
      </c>
    </row>
    <row r="9" spans="1:4" x14ac:dyDescent="0.8">
      <c r="A9" s="32">
        <v>5</v>
      </c>
      <c r="B9" s="31">
        <v>1</v>
      </c>
      <c r="C9" s="31">
        <v>2</v>
      </c>
      <c r="D9" s="31">
        <v>3</v>
      </c>
    </row>
    <row r="10" spans="1:4" x14ac:dyDescent="0.8">
      <c r="A10" s="30" t="s">
        <v>707</v>
      </c>
      <c r="B10" s="31">
        <v>13</v>
      </c>
      <c r="C10" s="31">
        <v>19</v>
      </c>
      <c r="D10" s="31">
        <v>32</v>
      </c>
    </row>
    <row r="11" spans="1:4" x14ac:dyDescent="0.8">
      <c r="A11" s="32">
        <v>3</v>
      </c>
      <c r="B11" s="31">
        <v>13</v>
      </c>
      <c r="C11" s="31">
        <v>19</v>
      </c>
      <c r="D11" s="31">
        <v>32</v>
      </c>
    </row>
    <row r="12" spans="1:4" x14ac:dyDescent="0.8">
      <c r="A12" s="30" t="s">
        <v>705</v>
      </c>
      <c r="B12" s="31">
        <v>12</v>
      </c>
      <c r="C12" s="31">
        <v>13</v>
      </c>
      <c r="D12" s="31">
        <v>25</v>
      </c>
    </row>
    <row r="13" spans="1:4" x14ac:dyDescent="0.8">
      <c r="A13" s="32">
        <v>0</v>
      </c>
      <c r="B13" s="31">
        <v>6</v>
      </c>
      <c r="C13" s="31">
        <v>7</v>
      </c>
      <c r="D13" s="31">
        <v>13</v>
      </c>
    </row>
    <row r="14" spans="1:4" x14ac:dyDescent="0.8">
      <c r="A14" s="32">
        <v>1</v>
      </c>
      <c r="B14" s="31">
        <v>6</v>
      </c>
      <c r="C14" s="31">
        <v>6</v>
      </c>
      <c r="D14" s="31">
        <v>12</v>
      </c>
    </row>
    <row r="15" spans="1:4" x14ac:dyDescent="0.8">
      <c r="A15" s="30" t="s">
        <v>709</v>
      </c>
      <c r="B15" s="31">
        <v>51</v>
      </c>
      <c r="C15" s="31">
        <v>65</v>
      </c>
      <c r="D15" s="31">
        <v>116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70"/>
  <sheetViews>
    <sheetView topLeftCell="F1" zoomScale="70" zoomScaleNormal="70" workbookViewId="0">
      <pane ySplit="2" topLeftCell="A39" activePane="bottomLeft" state="frozen"/>
      <selection activeCell="F1" sqref="F1"/>
      <selection pane="bottomLeft" activeCell="M42" sqref="M42"/>
    </sheetView>
  </sheetViews>
  <sheetFormatPr defaultColWidth="10.7890625" defaultRowHeight="16" x14ac:dyDescent="0.8"/>
  <cols>
    <col min="2" max="2" width="12.875" bestFit="1" customWidth="1"/>
    <col min="3" max="3" width="27.20703125" bestFit="1" customWidth="1"/>
    <col min="4" max="4" width="27.83203125" bestFit="1" customWidth="1"/>
    <col min="5" max="5" width="27.20703125" bestFit="1" customWidth="1"/>
    <col min="6" max="6" width="27.83203125" bestFit="1" customWidth="1"/>
    <col min="7" max="7" width="14.125" style="25" bestFit="1" customWidth="1"/>
    <col min="8" max="8" width="17.1640625" bestFit="1" customWidth="1"/>
    <col min="9" max="9" width="12.25" bestFit="1" customWidth="1"/>
    <col min="10" max="10" width="12.1640625" style="25" bestFit="1" customWidth="1"/>
    <col min="11" max="11" width="11.5390625" style="25" bestFit="1" customWidth="1"/>
    <col min="12" max="12" width="22.9140625" customWidth="1"/>
    <col min="13" max="13" width="27.83203125" customWidth="1"/>
  </cols>
  <sheetData>
    <row r="1" spans="1:13" x14ac:dyDescent="0.8">
      <c r="A1" s="60" t="s">
        <v>355</v>
      </c>
      <c r="B1" s="61"/>
      <c r="C1" s="61"/>
      <c r="D1" s="61"/>
      <c r="E1" s="61"/>
      <c r="F1" s="61"/>
      <c r="G1" s="61"/>
      <c r="H1" s="61"/>
      <c r="I1" s="61"/>
      <c r="J1" s="61"/>
      <c r="K1" s="61"/>
      <c r="L1" s="61"/>
      <c r="M1" s="62"/>
    </row>
    <row r="2" spans="1:13" x14ac:dyDescent="0.8">
      <c r="A2" s="1" t="s">
        <v>79</v>
      </c>
      <c r="B2" s="1" t="s">
        <v>80</v>
      </c>
      <c r="C2" s="1" t="s">
        <v>81</v>
      </c>
      <c r="D2" s="1" t="s">
        <v>82</v>
      </c>
      <c r="E2" s="1" t="s">
        <v>83</v>
      </c>
      <c r="F2" s="1" t="s">
        <v>84</v>
      </c>
      <c r="G2" s="21" t="s">
        <v>85</v>
      </c>
      <c r="H2" s="1" t="s">
        <v>349</v>
      </c>
      <c r="I2" s="1" t="s">
        <v>350</v>
      </c>
      <c r="J2" s="21" t="s">
        <v>351</v>
      </c>
      <c r="K2" s="21" t="s">
        <v>352</v>
      </c>
      <c r="L2" s="1" t="s">
        <v>353</v>
      </c>
      <c r="M2" s="1" t="s">
        <v>354</v>
      </c>
    </row>
    <row r="3" spans="1:13" x14ac:dyDescent="0.8">
      <c r="A3" s="2" t="s">
        <v>86</v>
      </c>
      <c r="B3" s="2" t="s">
        <v>87</v>
      </c>
      <c r="C3" s="2" t="s">
        <v>88</v>
      </c>
      <c r="D3" s="2" t="s">
        <v>87</v>
      </c>
      <c r="E3" s="2" t="s">
        <v>89</v>
      </c>
      <c r="F3" s="2" t="s">
        <v>87</v>
      </c>
      <c r="G3" s="9">
        <v>116538</v>
      </c>
      <c r="H3" s="2">
        <f>COUNTIF(Children!$B$13:$B$128,A3)</f>
        <v>4</v>
      </c>
      <c r="I3" s="2">
        <f>10*SUMIFS(Children!$K$13:$K$128,Children!$B$13:$B$128,Families!A3)</f>
        <v>120</v>
      </c>
      <c r="J3" s="9">
        <f>SUMIFS(Children!$Q$13:$Q$128,Children!$B$13:$B$128,Families!A3)</f>
        <v>73345</v>
      </c>
      <c r="K3" s="9">
        <f>MAX(0,IF(G3&lt;CCBThreshold,
IF(I3/H3&lt;CCBMaxHours,
I3*52*CCBHourlyRate,
50*52*CCBHourlyRate
),
IF(I3/H3&lt;CCBMaxHours,
I3*52*(CCBHourlyRate-(G3-CCBThreshold)*CCBThresholdModifier),
50*52*(CCBHourlyRate-(G3-CCBThreshold)*CCBThresholdModifier)
)
))</f>
        <v>1589.6025600000003</v>
      </c>
      <c r="L3" s="9">
        <f>MIN((J3-K3) * CCRRate,
(CCRMax*H3))</f>
        <v>30452</v>
      </c>
      <c r="M3" s="10">
        <f>J3-(K3+L3)</f>
        <v>41303.397440000001</v>
      </c>
    </row>
    <row r="4" spans="1:13" x14ac:dyDescent="0.8">
      <c r="A4" s="2" t="s">
        <v>90</v>
      </c>
      <c r="B4" s="2" t="s">
        <v>91</v>
      </c>
      <c r="C4" s="2" t="s">
        <v>92</v>
      </c>
      <c r="D4" s="2" t="s">
        <v>91</v>
      </c>
      <c r="E4" s="2" t="s">
        <v>93</v>
      </c>
      <c r="F4" s="2" t="s">
        <v>91</v>
      </c>
      <c r="G4" s="9">
        <v>117463</v>
      </c>
      <c r="H4" s="2">
        <f>COUNTIF(Children!$B$13:$B$128,A4)</f>
        <v>2</v>
      </c>
      <c r="I4" s="2">
        <f>10*SUMIFS(Children!$K$13:$K$128,Children!$B$13:$B$128,Families!A4)</f>
        <v>40</v>
      </c>
      <c r="J4" s="9">
        <f>SUMIFS(Children!$Q$13:$Q$128,Children!$B$13:$B$128,Families!A4)</f>
        <v>22280</v>
      </c>
      <c r="K4" s="9">
        <f t="shared" ref="K3:K34" si="0">MAX(0,IF(G4&lt;CCBThreshold,
IF(I4/H4&lt;CCBMaxHours,
I4*52*CCBHourlyRate,
50*52*CCBHourlyRate
),
IF(I4/H4&lt;50,
I4*52*(CCBHourlyRate-(G4-CCBThreshold)*CCBThresholdModifier),
50*52*(CCBHourlyRate-(G4-CCBThreshold)*CCBThresholdModifier)
)
))</f>
        <v>517.36152000000004</v>
      </c>
      <c r="L4" s="9">
        <f>MIN((J4-K4) * CCRRate,
(CCRMax*H4))</f>
        <v>10881.319240000001</v>
      </c>
      <c r="M4" s="10">
        <f t="shared" ref="M4:M67" si="1">J4-(K4+L4)</f>
        <v>10881.319239999999</v>
      </c>
    </row>
    <row r="5" spans="1:13" x14ac:dyDescent="0.8">
      <c r="A5" s="2" t="s">
        <v>94</v>
      </c>
      <c r="B5" s="2" t="s">
        <v>95</v>
      </c>
      <c r="C5" s="2" t="s">
        <v>54</v>
      </c>
      <c r="D5" s="2" t="s">
        <v>95</v>
      </c>
      <c r="E5" s="2" t="s">
        <v>96</v>
      </c>
      <c r="F5" s="2" t="s">
        <v>97</v>
      </c>
      <c r="G5" s="9">
        <v>191401</v>
      </c>
      <c r="H5" s="2">
        <f>COUNTIF(Children!$B$13:$B$128,A5)</f>
        <v>4</v>
      </c>
      <c r="I5" s="2">
        <f>10*SUMIFS(Children!$K$13:$K$128,Children!$B$13:$B$128,Families!A5)</f>
        <v>80</v>
      </c>
      <c r="J5" s="9">
        <f>SUMIFS(Children!$Q$13:$Q$128,Children!$B$13:$B$128,Families!A5)</f>
        <v>55340</v>
      </c>
      <c r="K5" s="9">
        <f t="shared" si="0"/>
        <v>0</v>
      </c>
      <c r="L5" s="9">
        <f>MIN((J5-K5) * CCRRate,
(CCRMax*H5))</f>
        <v>27670</v>
      </c>
      <c r="M5" s="10">
        <f t="shared" si="1"/>
        <v>27670</v>
      </c>
    </row>
    <row r="6" spans="1:13" x14ac:dyDescent="0.8">
      <c r="A6" s="2" t="s">
        <v>98</v>
      </c>
      <c r="B6" s="2" t="s">
        <v>99</v>
      </c>
      <c r="C6" s="2" t="s">
        <v>100</v>
      </c>
      <c r="D6" s="2" t="s">
        <v>99</v>
      </c>
      <c r="E6" s="2" t="s">
        <v>101</v>
      </c>
      <c r="F6" s="2" t="s">
        <v>99</v>
      </c>
      <c r="G6" s="9">
        <v>72685</v>
      </c>
      <c r="H6" s="2">
        <f>COUNTIF(Children!$B$13:$B$128,A6)</f>
        <v>1</v>
      </c>
      <c r="I6" s="2">
        <f>10*SUMIFS(Children!$K$13:$K$128,Children!$B$13:$B$128,Families!A6)</f>
        <v>50</v>
      </c>
      <c r="J6" s="9">
        <f>SUMIFS(Children!$Q$13:$Q$128,Children!$B$13:$B$128,Families!A6)</f>
        <v>33060</v>
      </c>
      <c r="K6" s="9">
        <f t="shared" si="0"/>
        <v>1403.4501</v>
      </c>
      <c r="L6" s="9">
        <f>MIN((J6-K6) * CCRRate,
(CCRMax*H6))</f>
        <v>7613</v>
      </c>
      <c r="M6" s="10">
        <f t="shared" si="1"/>
        <v>24043.549899999998</v>
      </c>
    </row>
    <row r="7" spans="1:13" x14ac:dyDescent="0.8">
      <c r="A7" s="2" t="s">
        <v>102</v>
      </c>
      <c r="B7" s="2" t="s">
        <v>103</v>
      </c>
      <c r="C7" s="2" t="s">
        <v>104</v>
      </c>
      <c r="D7" s="2" t="s">
        <v>103</v>
      </c>
      <c r="E7" s="2" t="s">
        <v>105</v>
      </c>
      <c r="F7" s="2" t="s">
        <v>103</v>
      </c>
      <c r="G7" s="9">
        <v>85772</v>
      </c>
      <c r="H7" s="2">
        <f>COUNTIF(Children!$B$13:$B$128,A7)</f>
        <v>1</v>
      </c>
      <c r="I7" s="2">
        <f>10*SUMIFS(Children!$K$13:$K$128,Children!$B$13:$B$128,Families!A7)</f>
        <v>40</v>
      </c>
      <c r="J7" s="9">
        <f>SUMIFS(Children!$Q$13:$Q$128,Children!$B$13:$B$128,Families!A7)</f>
        <v>16440</v>
      </c>
      <c r="K7" s="9">
        <f t="shared" si="0"/>
        <v>945.82384000000002</v>
      </c>
      <c r="L7" s="9">
        <f>MIN((J7-K7) * CCRRate,
(CCRMax*H7))</f>
        <v>7613</v>
      </c>
      <c r="M7" s="10">
        <f t="shared" si="1"/>
        <v>7881.1761599999991</v>
      </c>
    </row>
    <row r="8" spans="1:13" x14ac:dyDescent="0.8">
      <c r="A8" s="2" t="s">
        <v>106</v>
      </c>
      <c r="B8" s="2" t="s">
        <v>107</v>
      </c>
      <c r="C8" s="2" t="s">
        <v>108</v>
      </c>
      <c r="D8" s="2" t="s">
        <v>107</v>
      </c>
      <c r="E8" s="2" t="s">
        <v>109</v>
      </c>
      <c r="F8" s="2" t="s">
        <v>107</v>
      </c>
      <c r="G8" s="9">
        <v>168529</v>
      </c>
      <c r="H8" s="2">
        <f>COUNTIF(Children!$B$13:$B$128,A8)</f>
        <v>1</v>
      </c>
      <c r="I8" s="2">
        <f>10*SUMIFS(Children!$K$13:$K$128,Children!$B$13:$B$128,Families!A8)</f>
        <v>40</v>
      </c>
      <c r="J8" s="9">
        <f>SUMIFS(Children!$Q$13:$Q$128,Children!$B$13:$B$128,Families!A8)</f>
        <v>15835</v>
      </c>
      <c r="K8" s="9">
        <f t="shared" si="0"/>
        <v>0</v>
      </c>
      <c r="L8" s="9">
        <f>MIN((J8-K8) * CCRRate,
(CCRMax*H8))</f>
        <v>7613</v>
      </c>
      <c r="M8" s="10">
        <f t="shared" si="1"/>
        <v>8222</v>
      </c>
    </row>
    <row r="9" spans="1:13" x14ac:dyDescent="0.8">
      <c r="A9" s="2" t="s">
        <v>110</v>
      </c>
      <c r="B9" s="2" t="s">
        <v>111</v>
      </c>
      <c r="C9" s="2" t="s">
        <v>112</v>
      </c>
      <c r="D9" s="2" t="s">
        <v>111</v>
      </c>
      <c r="E9" s="2" t="s">
        <v>113</v>
      </c>
      <c r="F9" s="2" t="s">
        <v>114</v>
      </c>
      <c r="G9" s="9">
        <v>147000</v>
      </c>
      <c r="H9" s="2">
        <f>COUNTIF(Children!$B$13:$B$128,A9)</f>
        <v>1</v>
      </c>
      <c r="I9" s="2">
        <f>10*SUMIFS(Children!$K$13:$K$128,Children!$B$13:$B$128,Families!A9)</f>
        <v>30</v>
      </c>
      <c r="J9" s="9">
        <f>SUMIFS(Children!$Q$13:$Q$128,Children!$B$13:$B$128,Families!A9)</f>
        <v>14340</v>
      </c>
      <c r="K9" s="9">
        <f t="shared" si="0"/>
        <v>88.515960000000064</v>
      </c>
      <c r="L9" s="9">
        <f>MIN((J9-K9) * CCRRate,
(CCRMax*H9))</f>
        <v>7125.7420199999997</v>
      </c>
      <c r="M9" s="10">
        <f t="shared" si="1"/>
        <v>7125.7420200000006</v>
      </c>
    </row>
    <row r="10" spans="1:13" x14ac:dyDescent="0.8">
      <c r="A10" s="2" t="s">
        <v>115</v>
      </c>
      <c r="B10" s="2" t="s">
        <v>116</v>
      </c>
      <c r="C10" s="2" t="s">
        <v>117</v>
      </c>
      <c r="D10" s="2" t="s">
        <v>116</v>
      </c>
      <c r="E10" s="2" t="s">
        <v>118</v>
      </c>
      <c r="F10" s="2" t="s">
        <v>119</v>
      </c>
      <c r="G10" s="9">
        <v>170713</v>
      </c>
      <c r="H10" s="2">
        <f>COUNTIF(Children!$B$13:$B$128,A10)</f>
        <v>2</v>
      </c>
      <c r="I10" s="2">
        <f>10*SUMIFS(Children!$K$13:$K$128,Children!$B$13:$B$128,Families!A10)</f>
        <v>80</v>
      </c>
      <c r="J10" s="9">
        <f>SUMIFS(Children!$Q$13:$Q$128,Children!$B$13:$B$128,Families!A10)</f>
        <v>42115</v>
      </c>
      <c r="K10" s="9">
        <f t="shared" si="0"/>
        <v>0</v>
      </c>
      <c r="L10" s="9">
        <f>MIN((J10-K10) * CCRRate,
(CCRMax*H10))</f>
        <v>15226</v>
      </c>
      <c r="M10" s="10">
        <f t="shared" si="1"/>
        <v>26889</v>
      </c>
    </row>
    <row r="11" spans="1:13" x14ac:dyDescent="0.8">
      <c r="A11" s="2" t="s">
        <v>120</v>
      </c>
      <c r="B11" s="2" t="s">
        <v>121</v>
      </c>
      <c r="C11" s="2" t="s">
        <v>122</v>
      </c>
      <c r="D11" s="2" t="s">
        <v>121</v>
      </c>
      <c r="E11" s="2" t="s">
        <v>123</v>
      </c>
      <c r="F11" s="2" t="s">
        <v>121</v>
      </c>
      <c r="G11" s="9">
        <v>165435</v>
      </c>
      <c r="H11" s="2">
        <f>COUNTIF(Children!$B$13:$B$128,A11)</f>
        <v>2</v>
      </c>
      <c r="I11" s="2">
        <f>10*SUMIFS(Children!$K$13:$K$128,Children!$B$13:$B$128,Families!A11)</f>
        <v>80</v>
      </c>
      <c r="J11" s="9">
        <f>SUMIFS(Children!$Q$13:$Q$128,Children!$B$13:$B$128,Families!A11)</f>
        <v>47135</v>
      </c>
      <c r="K11" s="9">
        <f t="shared" si="0"/>
        <v>0</v>
      </c>
      <c r="L11" s="9">
        <f>MIN((J11-K11) * CCRRate,
(CCRMax*H11))</f>
        <v>15226</v>
      </c>
      <c r="M11" s="10">
        <f t="shared" si="1"/>
        <v>31909</v>
      </c>
    </row>
    <row r="12" spans="1:13" x14ac:dyDescent="0.8">
      <c r="A12" s="2" t="s">
        <v>124</v>
      </c>
      <c r="B12" s="2" t="s">
        <v>125</v>
      </c>
      <c r="C12" s="2" t="s">
        <v>126</v>
      </c>
      <c r="D12" s="2" t="s">
        <v>125</v>
      </c>
      <c r="E12" s="2" t="s">
        <v>127</v>
      </c>
      <c r="F12" s="2" t="s">
        <v>125</v>
      </c>
      <c r="G12" s="9">
        <v>118250</v>
      </c>
      <c r="H12" s="2">
        <f>COUNTIF(Children!$B$13:$B$128,A12)</f>
        <v>1</v>
      </c>
      <c r="I12" s="2">
        <f>10*SUMIFS(Children!$K$13:$K$128,Children!$B$13:$B$128,Families!A12)</f>
        <v>40</v>
      </c>
      <c r="J12" s="9">
        <f>SUMIFS(Children!$Q$13:$Q$128,Children!$B$13:$B$128,Families!A12)</f>
        <v>17395</v>
      </c>
      <c r="K12" s="9">
        <f t="shared" si="0"/>
        <v>506.72127999999998</v>
      </c>
      <c r="L12" s="9">
        <f>MIN((J12-K12) * CCRRate,
(CCRMax*H12))</f>
        <v>7613</v>
      </c>
      <c r="M12" s="10">
        <f t="shared" si="1"/>
        <v>9275.2787200000002</v>
      </c>
    </row>
    <row r="13" spans="1:13" x14ac:dyDescent="0.8">
      <c r="A13" s="2" t="s">
        <v>128</v>
      </c>
      <c r="B13" s="2" t="s">
        <v>129</v>
      </c>
      <c r="C13" s="2" t="s">
        <v>130</v>
      </c>
      <c r="D13" s="2" t="s">
        <v>129</v>
      </c>
      <c r="E13" s="2" t="s">
        <v>131</v>
      </c>
      <c r="F13" s="2" t="s">
        <v>132</v>
      </c>
      <c r="G13" s="9">
        <v>163683</v>
      </c>
      <c r="H13" s="2">
        <f>COUNTIF(Children!$B$13:$B$128,A13)</f>
        <v>4</v>
      </c>
      <c r="I13" s="2">
        <f>10*SUMIFS(Children!$K$13:$K$128,Children!$B$13:$B$128,Families!A13)</f>
        <v>200</v>
      </c>
      <c r="J13" s="9">
        <f>SUMIFS(Children!$Q$13:$Q$128,Children!$B$13:$B$128,Families!A13)</f>
        <v>108350</v>
      </c>
      <c r="K13" s="9">
        <f t="shared" si="0"/>
        <v>0</v>
      </c>
      <c r="L13" s="9">
        <f>MIN((J13-K13) * CCRRate,
(CCRMax*H13))</f>
        <v>30452</v>
      </c>
      <c r="M13" s="10">
        <f t="shared" si="1"/>
        <v>77898</v>
      </c>
    </row>
    <row r="14" spans="1:13" x14ac:dyDescent="0.8">
      <c r="A14" s="2" t="s">
        <v>133</v>
      </c>
      <c r="B14" s="2" t="s">
        <v>134</v>
      </c>
      <c r="C14" s="2" t="s">
        <v>135</v>
      </c>
      <c r="D14" s="2" t="s">
        <v>134</v>
      </c>
      <c r="E14" s="2" t="s">
        <v>136</v>
      </c>
      <c r="F14" s="2" t="s">
        <v>134</v>
      </c>
      <c r="G14" s="9">
        <v>166400</v>
      </c>
      <c r="H14" s="2">
        <f>COUNTIF(Children!$B$13:$B$128,A14)</f>
        <v>1</v>
      </c>
      <c r="I14" s="2">
        <f>10*SUMIFS(Children!$K$13:$K$128,Children!$B$13:$B$128,Families!A14)</f>
        <v>50</v>
      </c>
      <c r="J14" s="9">
        <f>SUMIFS(Children!$Q$13:$Q$128,Children!$B$13:$B$128,Families!A14)</f>
        <v>18695</v>
      </c>
      <c r="K14" s="9">
        <f t="shared" si="0"/>
        <v>0</v>
      </c>
      <c r="L14" s="9">
        <f>MIN((J14-K14) * CCRRate,
(CCRMax*H14))</f>
        <v>7613</v>
      </c>
      <c r="M14" s="10">
        <f t="shared" si="1"/>
        <v>11082</v>
      </c>
    </row>
    <row r="15" spans="1:13" x14ac:dyDescent="0.8">
      <c r="A15" s="2" t="s">
        <v>137</v>
      </c>
      <c r="B15" s="2" t="s">
        <v>138</v>
      </c>
      <c r="C15" s="2" t="s">
        <v>139</v>
      </c>
      <c r="D15" s="2" t="s">
        <v>138</v>
      </c>
      <c r="E15" s="2"/>
      <c r="F15" s="2"/>
      <c r="G15" s="9">
        <v>35533</v>
      </c>
      <c r="H15" s="2">
        <f>COUNTIF(Children!$B$13:$B$128,A15)</f>
        <v>1</v>
      </c>
      <c r="I15" s="2">
        <f>10*SUMIFS(Children!$K$13:$K$128,Children!$B$13:$B$128,Families!A15)</f>
        <v>10</v>
      </c>
      <c r="J15" s="9">
        <f>SUMIFS(Children!$Q$13:$Q$128,Children!$B$13:$B$128,Families!A15)</f>
        <v>5070</v>
      </c>
      <c r="K15" s="9">
        <f t="shared" si="0"/>
        <v>373.88</v>
      </c>
      <c r="L15" s="9">
        <f>MIN((J15-K15) * CCRRate,
(CCRMax*H15))</f>
        <v>2348.06</v>
      </c>
      <c r="M15" s="10">
        <f t="shared" si="1"/>
        <v>2348.06</v>
      </c>
    </row>
    <row r="16" spans="1:13" x14ac:dyDescent="0.8">
      <c r="A16" s="2" t="s">
        <v>140</v>
      </c>
      <c r="B16" s="2" t="s">
        <v>141</v>
      </c>
      <c r="C16" s="2" t="s">
        <v>142</v>
      </c>
      <c r="D16" s="2" t="s">
        <v>141</v>
      </c>
      <c r="E16" s="2" t="s">
        <v>143</v>
      </c>
      <c r="F16" s="2" t="s">
        <v>141</v>
      </c>
      <c r="G16" s="9">
        <v>172321</v>
      </c>
      <c r="H16" s="2">
        <f>COUNTIF(Children!$B$13:$B$128,A16)</f>
        <v>4</v>
      </c>
      <c r="I16" s="2">
        <f>10*SUMIFS(Children!$K$13:$K$128,Children!$B$13:$B$128,Families!A16)</f>
        <v>120</v>
      </c>
      <c r="J16" s="9">
        <f>SUMIFS(Children!$Q$13:$Q$128,Children!$B$13:$B$128,Families!A16)</f>
        <v>68740</v>
      </c>
      <c r="K16" s="9">
        <f t="shared" si="0"/>
        <v>0</v>
      </c>
      <c r="L16" s="9">
        <f>MIN((J16-K16) * CCRRate,
(CCRMax*H16))</f>
        <v>30452</v>
      </c>
      <c r="M16" s="10">
        <f t="shared" si="1"/>
        <v>38288</v>
      </c>
    </row>
    <row r="17" spans="1:13" x14ac:dyDescent="0.8">
      <c r="A17" s="2" t="s">
        <v>144</v>
      </c>
      <c r="B17" s="2" t="s">
        <v>45</v>
      </c>
      <c r="C17" s="2" t="s">
        <v>145</v>
      </c>
      <c r="D17" s="2" t="s">
        <v>45</v>
      </c>
      <c r="E17" s="2"/>
      <c r="F17" s="2" t="s">
        <v>146</v>
      </c>
      <c r="G17" s="9">
        <v>137112</v>
      </c>
      <c r="H17" s="2">
        <f>COUNTIF(Children!$B$13:$B$128,A17)</f>
        <v>1</v>
      </c>
      <c r="I17" s="2">
        <f>10*SUMIFS(Children!$K$13:$K$128,Children!$B$13:$B$128,Families!A17)</f>
        <v>40</v>
      </c>
      <c r="J17" s="9">
        <f>SUMIFS(Children!$Q$13:$Q$128,Children!$B$13:$B$128,Families!A17)</f>
        <v>15355</v>
      </c>
      <c r="K17" s="9">
        <f t="shared" si="0"/>
        <v>251.70704000000006</v>
      </c>
      <c r="L17" s="9">
        <f>MIN((J17-K17) * CCRRate,
(CCRMax*H17))</f>
        <v>7551.6464800000003</v>
      </c>
      <c r="M17" s="10">
        <f t="shared" si="1"/>
        <v>7551.6464799999994</v>
      </c>
    </row>
    <row r="18" spans="1:13" x14ac:dyDescent="0.8">
      <c r="A18" s="2" t="s">
        <v>147</v>
      </c>
      <c r="B18" s="2" t="s">
        <v>148</v>
      </c>
      <c r="C18" s="2" t="s">
        <v>149</v>
      </c>
      <c r="D18" s="2" t="s">
        <v>148</v>
      </c>
      <c r="E18" s="2" t="s">
        <v>150</v>
      </c>
      <c r="F18" s="2" t="s">
        <v>151</v>
      </c>
      <c r="G18" s="9">
        <v>142117</v>
      </c>
      <c r="H18" s="2">
        <f>COUNTIF(Children!$B$13:$B$128,A18)</f>
        <v>1</v>
      </c>
      <c r="I18" s="2">
        <f>10*SUMIFS(Children!$K$13:$K$128,Children!$B$13:$B$128,Families!A18)</f>
        <v>30</v>
      </c>
      <c r="J18" s="9">
        <f>SUMIFS(Children!$Q$13:$Q$128,Children!$B$13:$B$128,Families!A18)</f>
        <v>12795</v>
      </c>
      <c r="K18" s="9">
        <f t="shared" si="0"/>
        <v>138.02957999999995</v>
      </c>
      <c r="L18" s="9">
        <f>MIN((J18-K18) * CCRRate,
(CCRMax*H18))</f>
        <v>6328.4852099999998</v>
      </c>
      <c r="M18" s="10">
        <f t="shared" si="1"/>
        <v>6328.4852099999998</v>
      </c>
    </row>
    <row r="19" spans="1:13" x14ac:dyDescent="0.8">
      <c r="A19" s="2" t="s">
        <v>152</v>
      </c>
      <c r="B19" s="2" t="s">
        <v>153</v>
      </c>
      <c r="C19" s="2" t="s">
        <v>154</v>
      </c>
      <c r="D19" s="2" t="s">
        <v>153</v>
      </c>
      <c r="E19" s="2" t="s">
        <v>155</v>
      </c>
      <c r="F19" s="2" t="s">
        <v>153</v>
      </c>
      <c r="G19" s="9">
        <v>76982</v>
      </c>
      <c r="H19" s="2">
        <f>COUNTIF(Children!$B$13:$B$128,A19)</f>
        <v>2</v>
      </c>
      <c r="I19" s="2">
        <f>10*SUMIFS(Children!$K$13:$K$128,Children!$B$13:$B$128,Families!A19)</f>
        <v>60</v>
      </c>
      <c r="J19" s="9">
        <f>SUMIFS(Children!$Q$13:$Q$128,Children!$B$13:$B$128,Families!A19)</f>
        <v>23375</v>
      </c>
      <c r="K19" s="9">
        <f t="shared" si="0"/>
        <v>1596.9969599999997</v>
      </c>
      <c r="L19" s="9">
        <f>MIN((J19-K19) * CCRRate,
(CCRMax*H19))</f>
        <v>10889.00152</v>
      </c>
      <c r="M19" s="10">
        <f t="shared" si="1"/>
        <v>10889.00152</v>
      </c>
    </row>
    <row r="20" spans="1:13" x14ac:dyDescent="0.8">
      <c r="A20" s="2" t="s">
        <v>156</v>
      </c>
      <c r="B20" s="2" t="s">
        <v>157</v>
      </c>
      <c r="C20" s="2" t="s">
        <v>158</v>
      </c>
      <c r="D20" s="2" t="s">
        <v>157</v>
      </c>
      <c r="E20" s="2"/>
      <c r="F20" s="2"/>
      <c r="G20" s="9">
        <v>69888</v>
      </c>
      <c r="H20" s="2">
        <f>COUNTIF(Children!$B$13:$B$128,A20)</f>
        <v>1</v>
      </c>
      <c r="I20" s="2">
        <f>10*SUMIFS(Children!$K$13:$K$128,Children!$B$13:$B$128,Families!A20)</f>
        <v>10</v>
      </c>
      <c r="J20" s="9">
        <f>SUMIFS(Children!$Q$13:$Q$128,Children!$B$13:$B$128,Families!A20)</f>
        <v>4310</v>
      </c>
      <c r="K20" s="9">
        <f t="shared" si="0"/>
        <v>290.14387999999997</v>
      </c>
      <c r="L20" s="9">
        <f>MIN((J20-K20) * CCRRate,
(CCRMax*H20))</f>
        <v>2009.92806</v>
      </c>
      <c r="M20" s="10">
        <f t="shared" si="1"/>
        <v>2009.9280600000002</v>
      </c>
    </row>
    <row r="21" spans="1:13" x14ac:dyDescent="0.8">
      <c r="A21" s="2" t="s">
        <v>159</v>
      </c>
      <c r="B21" s="2" t="s">
        <v>160</v>
      </c>
      <c r="C21" s="2" t="s">
        <v>161</v>
      </c>
      <c r="D21" s="2" t="s">
        <v>160</v>
      </c>
      <c r="E21" s="2"/>
      <c r="F21" s="2"/>
      <c r="G21" s="9">
        <v>50642</v>
      </c>
      <c r="H21" s="2">
        <f>COUNTIF(Children!$B$13:$B$128,A21)</f>
        <v>2</v>
      </c>
      <c r="I21" s="2">
        <f>10*SUMIFS(Children!$K$13:$K$128,Children!$B$13:$B$128,Families!A21)</f>
        <v>60</v>
      </c>
      <c r="J21" s="9">
        <f>SUMIFS(Children!$Q$13:$Q$128,Children!$B$13:$B$128,Families!A21)</f>
        <v>38000</v>
      </c>
      <c r="K21" s="9">
        <f t="shared" si="0"/>
        <v>2131.1721600000001</v>
      </c>
      <c r="L21" s="9">
        <f>MIN((J21-K21) * CCRRate,
(CCRMax*H21))</f>
        <v>15226</v>
      </c>
      <c r="M21" s="10">
        <f t="shared" si="1"/>
        <v>20642.827839999998</v>
      </c>
    </row>
    <row r="22" spans="1:13" x14ac:dyDescent="0.8">
      <c r="A22" s="2" t="s">
        <v>162</v>
      </c>
      <c r="B22" s="2" t="s">
        <v>163</v>
      </c>
      <c r="C22" s="2" t="s">
        <v>164</v>
      </c>
      <c r="D22" s="2" t="s">
        <v>163</v>
      </c>
      <c r="E22" s="2" t="s">
        <v>165</v>
      </c>
      <c r="F22" s="2" t="s">
        <v>163</v>
      </c>
      <c r="G22" s="9">
        <v>101239</v>
      </c>
      <c r="H22" s="2">
        <f>COUNTIF(Children!$B$13:$B$128,A22)</f>
        <v>2</v>
      </c>
      <c r="I22" s="2">
        <f>10*SUMIFS(Children!$K$13:$K$128,Children!$B$13:$B$128,Families!A22)</f>
        <v>60</v>
      </c>
      <c r="J22" s="9">
        <f>SUMIFS(Children!$Q$13:$Q$128,Children!$B$13:$B$128,Families!A22)</f>
        <v>26960</v>
      </c>
      <c r="K22" s="9">
        <f t="shared" si="0"/>
        <v>1105.0650000000001</v>
      </c>
      <c r="L22" s="9">
        <f>MIN((J22-K22) * CCRRate,
(CCRMax*H22))</f>
        <v>12927.467500000001</v>
      </c>
      <c r="M22" s="10">
        <f t="shared" si="1"/>
        <v>12927.467499999999</v>
      </c>
    </row>
    <row r="23" spans="1:13" x14ac:dyDescent="0.8">
      <c r="A23" s="2" t="s">
        <v>166</v>
      </c>
      <c r="B23" s="2" t="s">
        <v>167</v>
      </c>
      <c r="C23" s="2" t="s">
        <v>165</v>
      </c>
      <c r="D23" s="2" t="s">
        <v>167</v>
      </c>
      <c r="E23" s="2" t="s">
        <v>168</v>
      </c>
      <c r="F23" s="2" t="s">
        <v>167</v>
      </c>
      <c r="G23" s="9">
        <v>164844</v>
      </c>
      <c r="H23" s="2">
        <f>COUNTIF(Children!$B$13:$B$128,A23)</f>
        <v>3</v>
      </c>
      <c r="I23" s="2">
        <f>10*SUMIFS(Children!$K$13:$K$128,Children!$B$13:$B$128,Families!A23)</f>
        <v>120</v>
      </c>
      <c r="J23" s="9">
        <f>SUMIFS(Children!$Q$13:$Q$128,Children!$B$13:$B$128,Families!A23)</f>
        <v>63385</v>
      </c>
      <c r="K23" s="9">
        <f t="shared" si="0"/>
        <v>0</v>
      </c>
      <c r="L23" s="9">
        <f>MIN((J23-K23) * CCRRate,
(CCRMax*H23))</f>
        <v>22839</v>
      </c>
      <c r="M23" s="10">
        <f t="shared" si="1"/>
        <v>40546</v>
      </c>
    </row>
    <row r="24" spans="1:13" x14ac:dyDescent="0.8">
      <c r="A24" s="2" t="s">
        <v>169</v>
      </c>
      <c r="B24" s="2" t="s">
        <v>170</v>
      </c>
      <c r="C24" s="2" t="s">
        <v>171</v>
      </c>
      <c r="D24" s="2" t="s">
        <v>170</v>
      </c>
      <c r="E24" s="2" t="s">
        <v>172</v>
      </c>
      <c r="F24" s="2" t="s">
        <v>170</v>
      </c>
      <c r="G24" s="9">
        <v>180224</v>
      </c>
      <c r="H24" s="2">
        <f>COUNTIF(Children!$B$13:$B$128,A24)</f>
        <v>2</v>
      </c>
      <c r="I24" s="2">
        <f>10*SUMIFS(Children!$K$13:$K$128,Children!$B$13:$B$128,Families!A24)</f>
        <v>80</v>
      </c>
      <c r="J24" s="9">
        <f>SUMIFS(Children!$Q$13:$Q$128,Children!$B$13:$B$128,Families!A24)</f>
        <v>34980</v>
      </c>
      <c r="K24" s="9">
        <f t="shared" si="0"/>
        <v>0</v>
      </c>
      <c r="L24" s="9">
        <f>MIN((J24-K24) * CCRRate,
(CCRMax*H24))</f>
        <v>15226</v>
      </c>
      <c r="M24" s="10">
        <f t="shared" si="1"/>
        <v>19754</v>
      </c>
    </row>
    <row r="25" spans="1:13" x14ac:dyDescent="0.8">
      <c r="A25" s="2" t="s">
        <v>173</v>
      </c>
      <c r="B25" s="2" t="s">
        <v>174</v>
      </c>
      <c r="C25" s="2" t="s">
        <v>175</v>
      </c>
      <c r="D25" s="2" t="s">
        <v>174</v>
      </c>
      <c r="E25" s="2"/>
      <c r="F25" s="2"/>
      <c r="G25" s="9">
        <v>60884</v>
      </c>
      <c r="H25" s="2">
        <f>COUNTIF(Children!$B$13:$B$128,A25)</f>
        <v>2</v>
      </c>
      <c r="I25" s="2">
        <f>10*SUMIFS(Children!$K$13:$K$128,Children!$B$13:$B$128,Families!A25)</f>
        <v>80</v>
      </c>
      <c r="J25" s="9">
        <f>SUMIFS(Children!$Q$13:$Q$128,Children!$B$13:$B$128,Families!A25)</f>
        <v>37945</v>
      </c>
      <c r="K25" s="9">
        <f t="shared" si="0"/>
        <v>2564.6192000000001</v>
      </c>
      <c r="L25" s="9">
        <f>MIN((J25-K25) * CCRRate,
(CCRMax*H25))</f>
        <v>15226</v>
      </c>
      <c r="M25" s="10">
        <f t="shared" si="1"/>
        <v>20154.380799999999</v>
      </c>
    </row>
    <row r="26" spans="1:13" x14ac:dyDescent="0.8">
      <c r="A26" s="2" t="s">
        <v>176</v>
      </c>
      <c r="B26" s="2" t="s">
        <v>177</v>
      </c>
      <c r="C26" s="2" t="s">
        <v>178</v>
      </c>
      <c r="D26" s="2" t="s">
        <v>177</v>
      </c>
      <c r="E26" s="2" t="s">
        <v>179</v>
      </c>
      <c r="F26" s="2" t="s">
        <v>177</v>
      </c>
      <c r="G26" s="9">
        <v>105305</v>
      </c>
      <c r="H26" s="2">
        <f>COUNTIF(Children!$B$13:$B$128,A26)</f>
        <v>1</v>
      </c>
      <c r="I26" s="2">
        <f>10*SUMIFS(Children!$K$13:$K$128,Children!$B$13:$B$128,Families!A26)</f>
        <v>30</v>
      </c>
      <c r="J26" s="9">
        <f>SUMIFS(Children!$Q$13:$Q$128,Children!$B$13:$B$128,Families!A26)</f>
        <v>14270</v>
      </c>
      <c r="K26" s="9">
        <f t="shared" si="0"/>
        <v>511.30326000000002</v>
      </c>
      <c r="L26" s="9">
        <f>MIN((J26-K26) * CCRRate,
(CCRMax*H26))</f>
        <v>6879.3483699999997</v>
      </c>
      <c r="M26" s="10">
        <f t="shared" si="1"/>
        <v>6879.3483700000006</v>
      </c>
    </row>
    <row r="27" spans="1:13" x14ac:dyDescent="0.8">
      <c r="A27" s="2" t="s">
        <v>180</v>
      </c>
      <c r="B27" s="2" t="s">
        <v>181</v>
      </c>
      <c r="C27" s="2" t="s">
        <v>182</v>
      </c>
      <c r="D27" s="2" t="s">
        <v>181</v>
      </c>
      <c r="E27" s="2" t="s">
        <v>183</v>
      </c>
      <c r="F27" s="2" t="s">
        <v>181</v>
      </c>
      <c r="G27" s="9">
        <v>107083</v>
      </c>
      <c r="H27" s="2">
        <f>COUNTIF(Children!$B$13:$B$128,A27)</f>
        <v>1</v>
      </c>
      <c r="I27" s="2">
        <f>10*SUMIFS(Children!$K$13:$K$128,Children!$B$13:$B$128,Families!A27)</f>
        <v>30</v>
      </c>
      <c r="J27" s="9">
        <f>SUMIFS(Children!$Q$13:$Q$128,Children!$B$13:$B$128,Families!A27)</f>
        <v>16720</v>
      </c>
      <c r="K27" s="9">
        <f t="shared" si="0"/>
        <v>493.27434000000005</v>
      </c>
      <c r="L27" s="9">
        <f>MIN((J27-K27) * CCRRate,
(CCRMax*H27))</f>
        <v>7613</v>
      </c>
      <c r="M27" s="10">
        <f t="shared" si="1"/>
        <v>8613.7256600000001</v>
      </c>
    </row>
    <row r="28" spans="1:13" x14ac:dyDescent="0.8">
      <c r="A28" s="2" t="s">
        <v>184</v>
      </c>
      <c r="B28" s="2" t="s">
        <v>185</v>
      </c>
      <c r="C28" s="2" t="s">
        <v>186</v>
      </c>
      <c r="D28" s="2" t="s">
        <v>185</v>
      </c>
      <c r="E28" s="2"/>
      <c r="F28" s="2"/>
      <c r="G28" s="9">
        <v>63252</v>
      </c>
      <c r="H28" s="2">
        <f>COUNTIF(Children!$B$13:$B$128,A28)</f>
        <v>1</v>
      </c>
      <c r="I28" s="2">
        <f>10*SUMIFS(Children!$K$13:$K$128,Children!$B$13:$B$128,Families!A28)</f>
        <v>50</v>
      </c>
      <c r="J28" s="9">
        <f>SUMIFS(Children!$Q$13:$Q$128,Children!$B$13:$B$128,Families!A28)</f>
        <v>19305</v>
      </c>
      <c r="K28" s="9">
        <f t="shared" si="0"/>
        <v>1562.8677999999998</v>
      </c>
      <c r="L28" s="9">
        <f>MIN((J28-K28) * CCRRate,
(CCRMax*H28))</f>
        <v>7613</v>
      </c>
      <c r="M28" s="10">
        <f t="shared" si="1"/>
        <v>10129.1322</v>
      </c>
    </row>
    <row r="29" spans="1:13" x14ac:dyDescent="0.8">
      <c r="A29" s="2" t="s">
        <v>187</v>
      </c>
      <c r="B29" s="2" t="s">
        <v>188</v>
      </c>
      <c r="C29" s="2" t="s">
        <v>189</v>
      </c>
      <c r="D29" s="2" t="s">
        <v>188</v>
      </c>
      <c r="E29" s="2"/>
      <c r="F29" s="2"/>
      <c r="G29" s="9">
        <v>48475</v>
      </c>
      <c r="H29" s="2">
        <f>COUNTIF(Children!$B$13:$B$128,A29)</f>
        <v>2</v>
      </c>
      <c r="I29" s="2">
        <f>10*SUMIFS(Children!$K$13:$K$128,Children!$B$13:$B$128,Families!A29)</f>
        <v>100</v>
      </c>
      <c r="J29" s="9">
        <f>SUMIFS(Children!$Q$13:$Q$128,Children!$B$13:$B$128,Families!A29)</f>
        <v>48165</v>
      </c>
      <c r="K29" s="9">
        <f t="shared" si="0"/>
        <v>1812.5990999999999</v>
      </c>
      <c r="L29" s="9">
        <f>MIN((J29-K29) * CCRRate,
(CCRMax*H29))</f>
        <v>15226</v>
      </c>
      <c r="M29" s="10">
        <f t="shared" si="1"/>
        <v>31126.400900000001</v>
      </c>
    </row>
    <row r="30" spans="1:13" x14ac:dyDescent="0.8">
      <c r="A30" s="2" t="s">
        <v>190</v>
      </c>
      <c r="B30" s="2" t="s">
        <v>191</v>
      </c>
      <c r="C30" s="2" t="s">
        <v>192</v>
      </c>
      <c r="D30" s="2" t="s">
        <v>191</v>
      </c>
      <c r="E30" s="2" t="s">
        <v>193</v>
      </c>
      <c r="F30" s="2" t="s">
        <v>194</v>
      </c>
      <c r="G30" s="9">
        <v>148644</v>
      </c>
      <c r="H30" s="2">
        <f>COUNTIF(Children!$B$13:$B$128,A30)</f>
        <v>2</v>
      </c>
      <c r="I30" s="2">
        <f>10*SUMIFS(Children!$K$13:$K$128,Children!$B$13:$B$128,Families!A30)</f>
        <v>100</v>
      </c>
      <c r="J30" s="9">
        <f>SUMIFS(Children!$Q$13:$Q$128,Children!$B$13:$B$128,Families!A30)</f>
        <v>43460</v>
      </c>
      <c r="K30" s="9">
        <f t="shared" si="0"/>
        <v>119.74300000000018</v>
      </c>
      <c r="L30" s="9">
        <f>MIN((J30-K30) * CCRRate,
(CCRMax*H30))</f>
        <v>15226</v>
      </c>
      <c r="M30" s="10">
        <f t="shared" si="1"/>
        <v>28114.256999999998</v>
      </c>
    </row>
    <row r="31" spans="1:13" x14ac:dyDescent="0.8">
      <c r="A31" s="2" t="s">
        <v>195</v>
      </c>
      <c r="B31" s="2" t="s">
        <v>196</v>
      </c>
      <c r="C31" s="2" t="s">
        <v>197</v>
      </c>
      <c r="D31" s="2" t="s">
        <v>196</v>
      </c>
      <c r="E31" s="2" t="s">
        <v>198</v>
      </c>
      <c r="F31" s="2" t="s">
        <v>196</v>
      </c>
      <c r="G31" s="9">
        <v>200555</v>
      </c>
      <c r="H31" s="2">
        <f>COUNTIF(Children!$B$13:$B$128,A31)</f>
        <v>4</v>
      </c>
      <c r="I31" s="2">
        <f>10*SUMIFS(Children!$K$13:$K$128,Children!$B$13:$B$128,Families!A31)</f>
        <v>160</v>
      </c>
      <c r="J31" s="9">
        <f>SUMIFS(Children!$Q$13:$Q$128,Children!$B$13:$B$128,Families!A31)</f>
        <v>77430</v>
      </c>
      <c r="K31" s="9">
        <f t="shared" si="0"/>
        <v>0</v>
      </c>
      <c r="L31" s="9">
        <f>MIN((J31-K31) * CCRRate,
(CCRMax*H31))</f>
        <v>30452</v>
      </c>
      <c r="M31" s="10">
        <f t="shared" si="1"/>
        <v>46978</v>
      </c>
    </row>
    <row r="32" spans="1:13" x14ac:dyDescent="0.8">
      <c r="A32" s="2" t="s">
        <v>199</v>
      </c>
      <c r="B32" s="2" t="s">
        <v>200</v>
      </c>
      <c r="C32" s="2" t="s">
        <v>201</v>
      </c>
      <c r="D32" s="2" t="s">
        <v>200</v>
      </c>
      <c r="E32" s="2" t="s">
        <v>202</v>
      </c>
      <c r="F32" s="2" t="s">
        <v>200</v>
      </c>
      <c r="G32" s="9">
        <v>99004</v>
      </c>
      <c r="H32" s="2">
        <f>COUNTIF(Children!$B$13:$B$128,A32)</f>
        <v>1</v>
      </c>
      <c r="I32" s="2">
        <f>10*SUMIFS(Children!$K$13:$K$128,Children!$B$13:$B$128,Families!A32)</f>
        <v>20</v>
      </c>
      <c r="J32" s="9">
        <f>SUMIFS(Children!$Q$13:$Q$128,Children!$B$13:$B$128,Families!A32)</f>
        <v>8775</v>
      </c>
      <c r="K32" s="9">
        <f t="shared" si="0"/>
        <v>383.46360000000004</v>
      </c>
      <c r="L32" s="9">
        <f>MIN((J32-K32) * CCRRate,
(CCRMax*H32))</f>
        <v>4195.7682000000004</v>
      </c>
      <c r="M32" s="10">
        <f t="shared" si="1"/>
        <v>4195.7681999999995</v>
      </c>
    </row>
    <row r="33" spans="1:13" x14ac:dyDescent="0.8">
      <c r="A33" s="2" t="s">
        <v>203</v>
      </c>
      <c r="B33" s="2" t="s">
        <v>204</v>
      </c>
      <c r="C33" s="2" t="s">
        <v>205</v>
      </c>
      <c r="D33" s="2" t="s">
        <v>204</v>
      </c>
      <c r="E33" s="2" t="s">
        <v>206</v>
      </c>
      <c r="F33" s="2" t="s">
        <v>204</v>
      </c>
      <c r="G33" s="9">
        <v>146375</v>
      </c>
      <c r="H33" s="2">
        <f>COUNTIF(Children!$B$13:$B$128,A33)</f>
        <v>1</v>
      </c>
      <c r="I33" s="2">
        <f>10*SUMIFS(Children!$K$13:$K$128,Children!$B$13:$B$128,Families!A33)</f>
        <v>40</v>
      </c>
      <c r="J33" s="9">
        <f>SUMIFS(Children!$Q$13:$Q$128,Children!$B$13:$B$128,Families!A33)</f>
        <v>18170</v>
      </c>
      <c r="K33" s="9">
        <f t="shared" si="0"/>
        <v>126.47128000000002</v>
      </c>
      <c r="L33" s="9">
        <f>MIN((J33-K33) * CCRRate,
(CCRMax*H33))</f>
        <v>7613</v>
      </c>
      <c r="M33" s="10">
        <f t="shared" si="1"/>
        <v>10430.52872</v>
      </c>
    </row>
    <row r="34" spans="1:13" x14ac:dyDescent="0.8">
      <c r="A34" s="2" t="s">
        <v>207</v>
      </c>
      <c r="B34" s="2" t="s">
        <v>208</v>
      </c>
      <c r="C34" s="2" t="s">
        <v>28</v>
      </c>
      <c r="D34" s="2" t="s">
        <v>208</v>
      </c>
      <c r="E34" s="2"/>
      <c r="F34" s="2"/>
      <c r="G34" s="9">
        <v>55875</v>
      </c>
      <c r="H34" s="2">
        <f>COUNTIF(Children!$B$13:$B$128,A34)</f>
        <v>1</v>
      </c>
      <c r="I34" s="2">
        <f>10*SUMIFS(Children!$K$13:$K$128,Children!$B$13:$B$128,Families!A34)</f>
        <v>30</v>
      </c>
      <c r="J34" s="9">
        <f>SUMIFS(Children!$Q$13:$Q$128,Children!$B$13:$B$128,Families!A34)</f>
        <v>14205</v>
      </c>
      <c r="K34" s="9">
        <f t="shared" si="0"/>
        <v>1012.5234599999999</v>
      </c>
      <c r="L34" s="9">
        <f>MIN((J34-K34) * CCRRate,
(CCRMax*H34))</f>
        <v>6596.2382699999998</v>
      </c>
      <c r="M34" s="10">
        <f t="shared" si="1"/>
        <v>6596.2382699999998</v>
      </c>
    </row>
    <row r="35" spans="1:13" x14ac:dyDescent="0.8">
      <c r="A35" s="2" t="s">
        <v>209</v>
      </c>
      <c r="B35" s="2" t="s">
        <v>210</v>
      </c>
      <c r="C35" s="2" t="s">
        <v>211</v>
      </c>
      <c r="D35" s="2" t="s">
        <v>210</v>
      </c>
      <c r="E35" s="2" t="s">
        <v>212</v>
      </c>
      <c r="F35" s="2" t="s">
        <v>213</v>
      </c>
      <c r="G35" s="9">
        <v>117501</v>
      </c>
      <c r="H35" s="2">
        <f>COUNTIF(Children!$B$13:$B$128,A35)</f>
        <v>2</v>
      </c>
      <c r="I35" s="2">
        <f>10*SUMIFS(Children!$K$13:$K$128,Children!$B$13:$B$128,Families!A35)</f>
        <v>20</v>
      </c>
      <c r="J35" s="9">
        <f>SUMIFS(Children!$Q$13:$Q$128,Children!$B$13:$B$128,Families!A35)</f>
        <v>9655</v>
      </c>
      <c r="K35" s="9">
        <f t="shared" ref="K35:K70" si="2">MAX(0,IF(G35&lt;CCBThreshold,
IF(I35/H35&lt;CCBMaxHours,
I35*52*CCBHourlyRate,
50*52*CCBHourlyRate
),
IF(I35/H35&lt;50,
I35*52*(CCBHourlyRate-(G35-CCBThreshold)*CCBThresholdModifier),
50*52*(CCBHourlyRate-(G35-CCBThreshold)*CCBThresholdModifier)
)
))</f>
        <v>258.42388</v>
      </c>
      <c r="L35" s="9">
        <f>MIN((J35-K35) * CCRRate,
(CCRMax*H35))</f>
        <v>4698.2880599999999</v>
      </c>
      <c r="M35" s="10">
        <f t="shared" si="1"/>
        <v>4698.2880599999999</v>
      </c>
    </row>
    <row r="36" spans="1:13" x14ac:dyDescent="0.8">
      <c r="A36" s="2" t="s">
        <v>214</v>
      </c>
      <c r="B36" s="2" t="s">
        <v>215</v>
      </c>
      <c r="C36" s="2" t="s">
        <v>216</v>
      </c>
      <c r="D36" s="2" t="s">
        <v>215</v>
      </c>
      <c r="E36" s="2" t="s">
        <v>217</v>
      </c>
      <c r="F36" s="2" t="s">
        <v>215</v>
      </c>
      <c r="G36" s="9">
        <v>137895</v>
      </c>
      <c r="H36" s="2">
        <f>COUNTIF(Children!$B$13:$B$128,A36)</f>
        <v>1</v>
      </c>
      <c r="I36" s="2">
        <f>10*SUMIFS(Children!$K$13:$K$128,Children!$B$13:$B$128,Families!A36)</f>
        <v>50</v>
      </c>
      <c r="J36" s="9">
        <f>SUMIFS(Children!$Q$13:$Q$128,Children!$B$13:$B$128,Families!A36)</f>
        <v>23760</v>
      </c>
      <c r="K36" s="9">
        <f t="shared" si="2"/>
        <v>301.40109999999987</v>
      </c>
      <c r="L36" s="9">
        <f>MIN((J36-K36) * CCRRate,
(CCRMax*H36))</f>
        <v>7613</v>
      </c>
      <c r="M36" s="10">
        <f t="shared" si="1"/>
        <v>15845.598900000001</v>
      </c>
    </row>
    <row r="37" spans="1:13" x14ac:dyDescent="0.8">
      <c r="A37" s="2" t="s">
        <v>218</v>
      </c>
      <c r="B37" s="2" t="s">
        <v>42</v>
      </c>
      <c r="C37" s="2" t="s">
        <v>219</v>
      </c>
      <c r="D37" s="2" t="s">
        <v>42</v>
      </c>
      <c r="E37" s="2" t="s">
        <v>220</v>
      </c>
      <c r="F37" s="2" t="s">
        <v>221</v>
      </c>
      <c r="G37" s="9">
        <v>129299</v>
      </c>
      <c r="H37" s="2">
        <f>COUNTIF(Children!$B$13:$B$128,A37)</f>
        <v>1</v>
      </c>
      <c r="I37" s="2">
        <f>10*SUMIFS(Children!$K$13:$K$128,Children!$B$13:$B$128,Families!A37)</f>
        <v>20</v>
      </c>
      <c r="J37" s="9">
        <f>SUMIFS(Children!$Q$13:$Q$128,Children!$B$13:$B$128,Families!A37)</f>
        <v>13330</v>
      </c>
      <c r="K37" s="9">
        <f t="shared" si="2"/>
        <v>178.66940000000005</v>
      </c>
      <c r="L37" s="9">
        <f>MIN((J37-K37) * CCRRate,
(CCRMax*H37))</f>
        <v>6575.6652999999997</v>
      </c>
      <c r="M37" s="10">
        <f t="shared" si="1"/>
        <v>6575.6653000000006</v>
      </c>
    </row>
    <row r="38" spans="1:13" x14ac:dyDescent="0.8">
      <c r="A38" s="2" t="s">
        <v>222</v>
      </c>
      <c r="B38" s="2" t="s">
        <v>223</v>
      </c>
      <c r="C38" s="2" t="s">
        <v>224</v>
      </c>
      <c r="D38" s="2" t="s">
        <v>223</v>
      </c>
      <c r="E38" s="2"/>
      <c r="F38" s="2"/>
      <c r="G38" s="9">
        <v>43492</v>
      </c>
      <c r="H38" s="2">
        <f>COUNTIF(Children!$B$13:$B$128,A38)</f>
        <v>2</v>
      </c>
      <c r="I38" s="2">
        <f>10*SUMIFS(Children!$K$13:$K$128,Children!$B$13:$B$128,Families!A38)</f>
        <v>100</v>
      </c>
      <c r="J38" s="9">
        <f>SUMIFS(Children!$Q$13:$Q$128,Children!$B$13:$B$128,Families!A38)</f>
        <v>50005</v>
      </c>
      <c r="K38" s="9">
        <f t="shared" si="2"/>
        <v>1869.3999999999999</v>
      </c>
      <c r="L38" s="9">
        <f>MIN((J38-K38) * CCRRate,
(CCRMax*H38))</f>
        <v>15226</v>
      </c>
      <c r="M38" s="10">
        <f t="shared" si="1"/>
        <v>32909.599999999999</v>
      </c>
    </row>
    <row r="39" spans="1:13" x14ac:dyDescent="0.8">
      <c r="A39" s="2" t="s">
        <v>225</v>
      </c>
      <c r="B39" s="2" t="s">
        <v>226</v>
      </c>
      <c r="C39" s="2" t="s">
        <v>227</v>
      </c>
      <c r="D39" s="2" t="s">
        <v>226</v>
      </c>
      <c r="E39" s="2"/>
      <c r="F39" s="2"/>
      <c r="G39" s="9">
        <v>39345</v>
      </c>
      <c r="H39" s="2">
        <f>COUNTIF(Children!$B$13:$B$128,A39)</f>
        <v>1</v>
      </c>
      <c r="I39" s="2">
        <f>10*SUMIFS(Children!$K$13:$K$128,Children!$B$13:$B$128,Families!A39)</f>
        <v>40</v>
      </c>
      <c r="J39" s="9">
        <f>SUMIFS(Children!$Q$13:$Q$128,Children!$B$13:$B$128,Families!A39)</f>
        <v>20130</v>
      </c>
      <c r="K39" s="9">
        <f t="shared" si="2"/>
        <v>1495.52</v>
      </c>
      <c r="L39" s="9">
        <f>MIN((J39-K39) * CCRRate,
(CCRMax*H39))</f>
        <v>7613</v>
      </c>
      <c r="M39" s="10">
        <f t="shared" si="1"/>
        <v>11021.48</v>
      </c>
    </row>
    <row r="40" spans="1:13" x14ac:dyDescent="0.8">
      <c r="A40" s="2" t="s">
        <v>228</v>
      </c>
      <c r="B40" s="2" t="s">
        <v>229</v>
      </c>
      <c r="C40" s="2" t="s">
        <v>230</v>
      </c>
      <c r="D40" s="2" t="s">
        <v>229</v>
      </c>
      <c r="E40" s="2" t="s">
        <v>231</v>
      </c>
      <c r="F40" s="2" t="s">
        <v>232</v>
      </c>
      <c r="G40" s="9">
        <v>131195</v>
      </c>
      <c r="H40" s="2">
        <f>COUNTIF(Children!$B$13:$B$128,A40)</f>
        <v>2</v>
      </c>
      <c r="I40" s="2">
        <f>10*SUMIFS(Children!$K$13:$K$128,Children!$B$13:$B$128,Families!A40)</f>
        <v>100</v>
      </c>
      <c r="J40" s="9">
        <f>SUMIFS(Children!$Q$13:$Q$128,Children!$B$13:$B$128,Families!A40)</f>
        <v>38060</v>
      </c>
      <c r="K40" s="9">
        <f t="shared" si="2"/>
        <v>414.63110000000012</v>
      </c>
      <c r="L40" s="9">
        <f>MIN((J40-K40) * CCRRate,
(CCRMax*H40))</f>
        <v>15226</v>
      </c>
      <c r="M40" s="10">
        <f t="shared" si="1"/>
        <v>22419.368900000001</v>
      </c>
    </row>
    <row r="41" spans="1:13" x14ac:dyDescent="0.8">
      <c r="A41" s="2" t="s">
        <v>233</v>
      </c>
      <c r="B41" s="2" t="s">
        <v>234</v>
      </c>
      <c r="C41" s="2" t="s">
        <v>235</v>
      </c>
      <c r="D41" s="2" t="s">
        <v>234</v>
      </c>
      <c r="E41" s="2" t="s">
        <v>193</v>
      </c>
      <c r="F41" s="2" t="s">
        <v>236</v>
      </c>
      <c r="G41" s="9">
        <v>142170</v>
      </c>
      <c r="H41" s="2">
        <f>COUNTIF(Children!$B$13:$B$128,A41)</f>
        <v>1</v>
      </c>
      <c r="I41" s="2">
        <f>10*SUMIFS(Children!$K$13:$K$128,Children!$B$13:$B$128,Families!A41)</f>
        <v>40</v>
      </c>
      <c r="J41" s="9">
        <f>SUMIFS(Children!$Q$13:$Q$128,Children!$B$13:$B$128,Families!A41)</f>
        <v>19135</v>
      </c>
      <c r="K41" s="9">
        <f t="shared" si="2"/>
        <v>183.32288</v>
      </c>
      <c r="L41" s="9">
        <f>MIN((J41-K41) * CCRRate,
(CCRMax*H41))</f>
        <v>7613</v>
      </c>
      <c r="M41" s="10">
        <f t="shared" si="1"/>
        <v>11338.67712</v>
      </c>
    </row>
    <row r="42" spans="1:13" x14ac:dyDescent="0.8">
      <c r="A42" s="2" t="s">
        <v>237</v>
      </c>
      <c r="B42" s="2" t="s">
        <v>238</v>
      </c>
      <c r="C42" s="2" t="s">
        <v>239</v>
      </c>
      <c r="D42" s="2" t="s">
        <v>238</v>
      </c>
      <c r="E42" s="2"/>
      <c r="F42" s="2"/>
      <c r="G42" s="9">
        <v>47928</v>
      </c>
      <c r="H42" s="2">
        <f>COUNTIF(Children!$B$13:$B$128,A42)</f>
        <v>1</v>
      </c>
      <c r="I42" s="2">
        <f>10*SUMIFS(Children!$K$13:$K$128,Children!$B$13:$B$128,Families!A42)</f>
        <v>50</v>
      </c>
      <c r="J42" s="9">
        <f>SUMIFS(Children!$Q$13:$Q$128,Children!$B$13:$B$128,Families!A42)</f>
        <v>18450</v>
      </c>
      <c r="K42" s="9">
        <f t="shared" si="2"/>
        <v>1821.8434</v>
      </c>
      <c r="L42" s="9">
        <f>MIN((J42-K42) * CCRRate,
(CCRMax*H42))</f>
        <v>7613</v>
      </c>
      <c r="M42" s="10">
        <f t="shared" si="1"/>
        <v>9015.1566000000003</v>
      </c>
    </row>
    <row r="43" spans="1:13" x14ac:dyDescent="0.8">
      <c r="A43" s="2" t="s">
        <v>240</v>
      </c>
      <c r="B43" s="2" t="s">
        <v>241</v>
      </c>
      <c r="C43" s="2" t="s">
        <v>242</v>
      </c>
      <c r="D43" s="2" t="s">
        <v>241</v>
      </c>
      <c r="E43" s="2" t="s">
        <v>243</v>
      </c>
      <c r="F43" s="2" t="s">
        <v>241</v>
      </c>
      <c r="G43" s="9">
        <v>178989</v>
      </c>
      <c r="H43" s="2">
        <f>COUNTIF(Children!$B$13:$B$128,A43)</f>
        <v>2</v>
      </c>
      <c r="I43" s="2">
        <f>10*SUMIFS(Children!$K$13:$K$128,Children!$B$13:$B$128,Families!A43)</f>
        <v>40</v>
      </c>
      <c r="J43" s="9">
        <f>SUMIFS(Children!$Q$13:$Q$128,Children!$B$13:$B$128,Families!A43)</f>
        <v>19280</v>
      </c>
      <c r="K43" s="9">
        <f t="shared" si="2"/>
        <v>0</v>
      </c>
      <c r="L43" s="9">
        <f>MIN((J43-K43) * CCRRate,
(CCRMax*H43))</f>
        <v>9640</v>
      </c>
      <c r="M43" s="10">
        <f t="shared" si="1"/>
        <v>9640</v>
      </c>
    </row>
    <row r="44" spans="1:13" x14ac:dyDescent="0.8">
      <c r="A44" s="2" t="s">
        <v>244</v>
      </c>
      <c r="B44" s="2" t="s">
        <v>245</v>
      </c>
      <c r="C44" s="2" t="s">
        <v>246</v>
      </c>
      <c r="D44" s="2" t="s">
        <v>245</v>
      </c>
      <c r="E44" s="2" t="s">
        <v>247</v>
      </c>
      <c r="F44" s="2" t="s">
        <v>245</v>
      </c>
      <c r="G44" s="9">
        <v>180230</v>
      </c>
      <c r="H44" s="2">
        <f>COUNTIF(Children!$B$13:$B$128,A44)</f>
        <v>3</v>
      </c>
      <c r="I44" s="2">
        <f>10*SUMIFS(Children!$K$13:$K$128,Children!$B$13:$B$128,Families!A44)</f>
        <v>90</v>
      </c>
      <c r="J44" s="9">
        <f>SUMIFS(Children!$Q$13:$Q$128,Children!$B$13:$B$128,Families!A44)</f>
        <v>36690</v>
      </c>
      <c r="K44" s="9">
        <f t="shared" si="2"/>
        <v>0</v>
      </c>
      <c r="L44" s="9">
        <f>MIN((J44-K44) * CCRRate,
(CCRMax*H44))</f>
        <v>18345</v>
      </c>
      <c r="M44" s="10">
        <f t="shared" si="1"/>
        <v>18345</v>
      </c>
    </row>
    <row r="45" spans="1:13" x14ac:dyDescent="0.8">
      <c r="A45" s="2" t="s">
        <v>248</v>
      </c>
      <c r="B45" s="2" t="s">
        <v>249</v>
      </c>
      <c r="C45" s="2" t="s">
        <v>250</v>
      </c>
      <c r="D45" s="2" t="s">
        <v>249</v>
      </c>
      <c r="E45" s="2" t="s">
        <v>251</v>
      </c>
      <c r="F45" s="2" t="s">
        <v>249</v>
      </c>
      <c r="G45" s="9">
        <v>106541</v>
      </c>
      <c r="H45" s="2">
        <f>COUNTIF(Children!$B$13:$B$128,A45)</f>
        <v>1</v>
      </c>
      <c r="I45" s="2">
        <f>10*SUMIFS(Children!$K$13:$K$128,Children!$B$13:$B$128,Families!A45)</f>
        <v>20</v>
      </c>
      <c r="J45" s="9">
        <f>SUMIFS(Children!$Q$13:$Q$128,Children!$B$13:$B$128,Families!A45)</f>
        <v>8650</v>
      </c>
      <c r="K45" s="9">
        <f t="shared" si="2"/>
        <v>332.51348000000002</v>
      </c>
      <c r="L45" s="9">
        <f>MIN((J45-K45) * CCRRate,
(CCRMax*H45))</f>
        <v>4158.7432600000002</v>
      </c>
      <c r="M45" s="10">
        <f t="shared" si="1"/>
        <v>4158.7432600000002</v>
      </c>
    </row>
    <row r="46" spans="1:13" x14ac:dyDescent="0.8">
      <c r="A46" s="2" t="s">
        <v>252</v>
      </c>
      <c r="B46" s="2" t="s">
        <v>253</v>
      </c>
      <c r="C46" s="2" t="s">
        <v>38</v>
      </c>
      <c r="D46" s="2" t="s">
        <v>253</v>
      </c>
      <c r="E46" s="2" t="s">
        <v>235</v>
      </c>
      <c r="F46" s="2" t="s">
        <v>254</v>
      </c>
      <c r="G46" s="9">
        <v>170206</v>
      </c>
      <c r="H46" s="2">
        <f>COUNTIF(Children!$B$13:$B$128,A46)</f>
        <v>3</v>
      </c>
      <c r="I46" s="2">
        <f>10*SUMIFS(Children!$K$13:$K$128,Children!$B$13:$B$128,Families!A46)</f>
        <v>90</v>
      </c>
      <c r="J46" s="9">
        <f>SUMIFS(Children!$Q$13:$Q$128,Children!$B$13:$B$128,Families!A46)</f>
        <v>48360</v>
      </c>
      <c r="K46" s="9">
        <f t="shared" si="2"/>
        <v>0</v>
      </c>
      <c r="L46" s="9">
        <f>MIN((J46-K46) * CCRRate,
(CCRMax*H46))</f>
        <v>22839</v>
      </c>
      <c r="M46" s="10">
        <f t="shared" si="1"/>
        <v>25521</v>
      </c>
    </row>
    <row r="47" spans="1:13" x14ac:dyDescent="0.8">
      <c r="A47" s="2" t="s">
        <v>255</v>
      </c>
      <c r="B47" s="2" t="s">
        <v>256</v>
      </c>
      <c r="C47" s="2" t="s">
        <v>71</v>
      </c>
      <c r="D47" s="2" t="s">
        <v>256</v>
      </c>
      <c r="E47" s="2"/>
      <c r="F47" s="2"/>
      <c r="G47" s="9">
        <v>72606</v>
      </c>
      <c r="H47" s="2">
        <f>COUNTIF(Children!$B$13:$B$128,A47)</f>
        <v>1</v>
      </c>
      <c r="I47" s="2">
        <f>10*SUMIFS(Children!$K$13:$K$128,Children!$B$13:$B$128,Families!A47)</f>
        <v>30</v>
      </c>
      <c r="J47" s="9">
        <f>SUMIFS(Children!$Q$13:$Q$128,Children!$B$13:$B$128,Families!A47)</f>
        <v>8230</v>
      </c>
      <c r="K47" s="9">
        <f t="shared" si="2"/>
        <v>842.87111999999991</v>
      </c>
      <c r="L47" s="9">
        <f>MIN((J47-K47) * CCRRate,
(CCRMax*H47))</f>
        <v>3693.5644400000001</v>
      </c>
      <c r="M47" s="10">
        <f t="shared" si="1"/>
        <v>3693.5644400000001</v>
      </c>
    </row>
    <row r="48" spans="1:13" x14ac:dyDescent="0.8">
      <c r="A48" s="2" t="s">
        <v>257</v>
      </c>
      <c r="B48" s="2" t="s">
        <v>258</v>
      </c>
      <c r="C48" s="2" t="s">
        <v>259</v>
      </c>
      <c r="D48" s="2" t="s">
        <v>258</v>
      </c>
      <c r="E48" s="2" t="s">
        <v>232</v>
      </c>
      <c r="F48" s="2" t="s">
        <v>258</v>
      </c>
      <c r="G48" s="9">
        <v>160219</v>
      </c>
      <c r="H48" s="2">
        <f>COUNTIF(Children!$B$13:$B$128,A48)</f>
        <v>1</v>
      </c>
      <c r="I48" s="2">
        <f>10*SUMIFS(Children!$K$13:$K$128,Children!$B$13:$B$128,Families!A48)</f>
        <v>20</v>
      </c>
      <c r="J48" s="9">
        <f>SUMIFS(Children!$Q$13:$Q$128,Children!$B$13:$B$128,Families!A48)</f>
        <v>9165</v>
      </c>
      <c r="K48" s="9">
        <f t="shared" si="2"/>
        <v>0</v>
      </c>
      <c r="L48" s="9">
        <f>MIN((J48-K48) * CCRRate,
(CCRMax*H48))</f>
        <v>4582.5</v>
      </c>
      <c r="M48" s="10">
        <f t="shared" si="1"/>
        <v>4582.5</v>
      </c>
    </row>
    <row r="49" spans="1:13" x14ac:dyDescent="0.8">
      <c r="A49" s="2" t="s">
        <v>260</v>
      </c>
      <c r="B49" s="2" t="s">
        <v>261</v>
      </c>
      <c r="C49" s="2" t="s">
        <v>262</v>
      </c>
      <c r="D49" s="2" t="s">
        <v>261</v>
      </c>
      <c r="E49" s="2" t="s">
        <v>263</v>
      </c>
      <c r="F49" s="2" t="s">
        <v>264</v>
      </c>
      <c r="G49" s="9">
        <v>167942</v>
      </c>
      <c r="H49" s="2">
        <f>COUNTIF(Children!$B$13:$B$128,A49)</f>
        <v>1</v>
      </c>
      <c r="I49" s="2">
        <f>10*SUMIFS(Children!$K$13:$K$128,Children!$B$13:$B$128,Families!A49)</f>
        <v>20</v>
      </c>
      <c r="J49" s="9">
        <f>SUMIFS(Children!$Q$13:$Q$128,Children!$B$13:$B$128,Families!A49)</f>
        <v>8365</v>
      </c>
      <c r="K49" s="9">
        <f t="shared" si="2"/>
        <v>0</v>
      </c>
      <c r="L49" s="9">
        <f>MIN((J49-K49) * CCRRate,
(CCRMax*H49))</f>
        <v>4182.5</v>
      </c>
      <c r="M49" s="10">
        <f t="shared" si="1"/>
        <v>4182.5</v>
      </c>
    </row>
    <row r="50" spans="1:13" x14ac:dyDescent="0.8">
      <c r="A50" s="2" t="s">
        <v>265</v>
      </c>
      <c r="B50" s="2" t="s">
        <v>266</v>
      </c>
      <c r="C50" s="2" t="s">
        <v>235</v>
      </c>
      <c r="D50" s="2" t="s">
        <v>266</v>
      </c>
      <c r="E50" s="2" t="s">
        <v>267</v>
      </c>
      <c r="F50" s="2" t="s">
        <v>268</v>
      </c>
      <c r="G50" s="9">
        <v>147217</v>
      </c>
      <c r="H50" s="2">
        <f>COUNTIF(Children!$B$13:$B$128,A50)</f>
        <v>1</v>
      </c>
      <c r="I50" s="2">
        <f>10*SUMIFS(Children!$K$13:$K$128,Children!$B$13:$B$128,Families!A50)</f>
        <v>20</v>
      </c>
      <c r="J50" s="9">
        <f>SUMIFS(Children!$Q$13:$Q$128,Children!$B$13:$B$128,Families!A50)</f>
        <v>8205</v>
      </c>
      <c r="K50" s="9">
        <f t="shared" si="2"/>
        <v>57.543720000000064</v>
      </c>
      <c r="L50" s="9">
        <f>MIN((J50-K50) * CCRRate,
(CCRMax*H50))</f>
        <v>4073.7281400000002</v>
      </c>
      <c r="M50" s="10">
        <f t="shared" si="1"/>
        <v>4073.7281400000002</v>
      </c>
    </row>
    <row r="51" spans="1:13" x14ac:dyDescent="0.8">
      <c r="A51" s="2" t="s">
        <v>269</v>
      </c>
      <c r="B51" s="2" t="s">
        <v>270</v>
      </c>
      <c r="C51" s="2" t="s">
        <v>231</v>
      </c>
      <c r="D51" s="2" t="s">
        <v>270</v>
      </c>
      <c r="E51" s="2"/>
      <c r="F51" s="2"/>
      <c r="G51" s="9">
        <v>66987</v>
      </c>
      <c r="H51" s="2">
        <f>COUNTIF(Children!$B$13:$B$128,A51)</f>
        <v>2</v>
      </c>
      <c r="I51" s="2">
        <f>10*SUMIFS(Children!$K$13:$K$128,Children!$B$13:$B$128,Families!A51)</f>
        <v>60</v>
      </c>
      <c r="J51" s="9">
        <f>SUMIFS(Children!$Q$13:$Q$128,Children!$B$13:$B$128,Families!A51)</f>
        <v>30965</v>
      </c>
      <c r="K51" s="9">
        <f t="shared" si="2"/>
        <v>1799.6955599999999</v>
      </c>
      <c r="L51" s="9">
        <f>MIN((J51-K51) * CCRRate,
(CCRMax*H51))</f>
        <v>14582.65222</v>
      </c>
      <c r="M51" s="10">
        <f t="shared" si="1"/>
        <v>14582.65222</v>
      </c>
    </row>
    <row r="52" spans="1:13" x14ac:dyDescent="0.8">
      <c r="A52" s="2" t="s">
        <v>271</v>
      </c>
      <c r="B52" s="2" t="s">
        <v>272</v>
      </c>
      <c r="C52" s="2" t="s">
        <v>273</v>
      </c>
      <c r="D52" s="2" t="s">
        <v>272</v>
      </c>
      <c r="E52" s="2" t="s">
        <v>274</v>
      </c>
      <c r="F52" s="2" t="s">
        <v>272</v>
      </c>
      <c r="G52" s="9">
        <v>161645</v>
      </c>
      <c r="H52" s="2">
        <f>COUNTIF(Children!$B$13:$B$128,A52)</f>
        <v>1</v>
      </c>
      <c r="I52" s="2">
        <f>10*SUMIFS(Children!$K$13:$K$128,Children!$B$13:$B$128,Families!A52)</f>
        <v>30</v>
      </c>
      <c r="J52" s="9">
        <f>SUMIFS(Children!$Q$13:$Q$128,Children!$B$13:$B$128,Families!A52)</f>
        <v>13515</v>
      </c>
      <c r="K52" s="9">
        <f t="shared" si="2"/>
        <v>0</v>
      </c>
      <c r="L52" s="9">
        <f>MIN((J52-K52) * CCRRate,
(CCRMax*H52))</f>
        <v>6757.5</v>
      </c>
      <c r="M52" s="10">
        <f t="shared" si="1"/>
        <v>6757.5</v>
      </c>
    </row>
    <row r="53" spans="1:13" x14ac:dyDescent="0.8">
      <c r="A53" s="2" t="s">
        <v>275</v>
      </c>
      <c r="B53" s="2" t="s">
        <v>276</v>
      </c>
      <c r="C53" s="2" t="s">
        <v>277</v>
      </c>
      <c r="D53" s="2" t="s">
        <v>276</v>
      </c>
      <c r="E53" s="2"/>
      <c r="F53" s="2"/>
      <c r="G53" s="9">
        <v>55513</v>
      </c>
      <c r="H53" s="2">
        <f>COUNTIF(Children!$B$13:$B$128,A53)</f>
        <v>1</v>
      </c>
      <c r="I53" s="2">
        <f>10*SUMIFS(Children!$K$13:$K$128,Children!$B$13:$B$128,Families!A53)</f>
        <v>40</v>
      </c>
      <c r="J53" s="9">
        <f>SUMIFS(Children!$Q$13:$Q$128,Children!$B$13:$B$128,Families!A53)</f>
        <v>19305</v>
      </c>
      <c r="K53" s="9">
        <f t="shared" si="2"/>
        <v>1354.92552</v>
      </c>
      <c r="L53" s="9">
        <f>MIN((J53-K53) * CCRRate,
(CCRMax*H53))</f>
        <v>7613</v>
      </c>
      <c r="M53" s="10">
        <f t="shared" si="1"/>
        <v>10337.074479999999</v>
      </c>
    </row>
    <row r="54" spans="1:13" x14ac:dyDescent="0.8">
      <c r="A54" s="2" t="s">
        <v>278</v>
      </c>
      <c r="B54" s="2" t="s">
        <v>279</v>
      </c>
      <c r="C54" s="2" t="s">
        <v>280</v>
      </c>
      <c r="D54" s="2" t="s">
        <v>279</v>
      </c>
      <c r="E54" s="2" t="s">
        <v>281</v>
      </c>
      <c r="F54" s="2" t="s">
        <v>279</v>
      </c>
      <c r="G54" s="9">
        <v>116031</v>
      </c>
      <c r="H54" s="2">
        <f>COUNTIF(Children!$B$13:$B$128,A54)</f>
        <v>3</v>
      </c>
      <c r="I54" s="2">
        <f>10*SUMIFS(Children!$K$13:$K$128,Children!$B$13:$B$128,Families!A54)</f>
        <v>90</v>
      </c>
      <c r="J54" s="9">
        <f>SUMIFS(Children!$Q$13:$Q$128,Children!$B$13:$B$128,Families!A54)</f>
        <v>38430</v>
      </c>
      <c r="K54" s="9">
        <f t="shared" si="2"/>
        <v>1207.6248599999999</v>
      </c>
      <c r="L54" s="9">
        <f>MIN((J54-K54) * CCRRate,
(CCRMax*H54))</f>
        <v>18611.187570000002</v>
      </c>
      <c r="M54" s="10">
        <f t="shared" si="1"/>
        <v>18611.187569999998</v>
      </c>
    </row>
    <row r="55" spans="1:13" x14ac:dyDescent="0.8">
      <c r="A55" s="2" t="s">
        <v>282</v>
      </c>
      <c r="B55" s="2" t="s">
        <v>283</v>
      </c>
      <c r="C55" s="2" t="s">
        <v>284</v>
      </c>
      <c r="D55" s="2" t="s">
        <v>283</v>
      </c>
      <c r="E55" s="2" t="s">
        <v>285</v>
      </c>
      <c r="F55" s="2" t="s">
        <v>283</v>
      </c>
      <c r="G55" s="9">
        <v>140101</v>
      </c>
      <c r="H55" s="2">
        <f>COUNTIF(Children!$B$13:$B$128,A55)</f>
        <v>1</v>
      </c>
      <c r="I55" s="2">
        <f>10*SUMIFS(Children!$K$13:$K$128,Children!$B$13:$B$128,Families!A55)</f>
        <v>20</v>
      </c>
      <c r="J55" s="9">
        <f>SUMIFS(Children!$Q$13:$Q$128,Children!$B$13:$B$128,Families!A55)</f>
        <v>9570</v>
      </c>
      <c r="K55" s="9">
        <f t="shared" si="2"/>
        <v>105.64787999999996</v>
      </c>
      <c r="L55" s="9">
        <f>MIN((J55-K55) * CCRRate,
(CCRMax*H55))</f>
        <v>4732.1760599999998</v>
      </c>
      <c r="M55" s="10">
        <f t="shared" si="1"/>
        <v>4732.1760600000007</v>
      </c>
    </row>
    <row r="56" spans="1:13" x14ac:dyDescent="0.8">
      <c r="A56" s="2" t="s">
        <v>286</v>
      </c>
      <c r="B56" s="2" t="s">
        <v>287</v>
      </c>
      <c r="C56" s="2" t="s">
        <v>288</v>
      </c>
      <c r="D56" s="2" t="s">
        <v>287</v>
      </c>
      <c r="E56" s="2" t="s">
        <v>289</v>
      </c>
      <c r="F56" s="2" t="s">
        <v>290</v>
      </c>
      <c r="G56" s="9">
        <v>208152</v>
      </c>
      <c r="H56" s="2">
        <f>COUNTIF(Children!$B$13:$B$128,A56)</f>
        <v>1</v>
      </c>
      <c r="I56" s="2">
        <f>10*SUMIFS(Children!$K$13:$K$128,Children!$B$13:$B$128,Families!A56)</f>
        <v>20</v>
      </c>
      <c r="J56" s="9">
        <f>SUMIFS(Children!$Q$13:$Q$128,Children!$B$13:$B$128,Families!A56)</f>
        <v>9900</v>
      </c>
      <c r="K56" s="9">
        <f t="shared" si="2"/>
        <v>0</v>
      </c>
      <c r="L56" s="9">
        <f>MIN((J56-K56) * CCRRate,
(CCRMax*H56))</f>
        <v>4950</v>
      </c>
      <c r="M56" s="10">
        <f t="shared" si="1"/>
        <v>4950</v>
      </c>
    </row>
    <row r="57" spans="1:13" x14ac:dyDescent="0.8">
      <c r="A57" s="2" t="s">
        <v>291</v>
      </c>
      <c r="B57" s="2" t="s">
        <v>292</v>
      </c>
      <c r="C57" s="2" t="s">
        <v>293</v>
      </c>
      <c r="D57" s="2" t="s">
        <v>292</v>
      </c>
      <c r="E57" s="2" t="s">
        <v>294</v>
      </c>
      <c r="F57" s="2" t="s">
        <v>292</v>
      </c>
      <c r="G57" s="9">
        <v>106277</v>
      </c>
      <c r="H57" s="2">
        <f>COUNTIF(Children!$B$13:$B$128,A57)</f>
        <v>2</v>
      </c>
      <c r="I57" s="2">
        <f>10*SUMIFS(Children!$K$13:$K$128,Children!$B$13:$B$128,Families!A57)</f>
        <v>80</v>
      </c>
      <c r="J57" s="9">
        <f>SUMIFS(Children!$Q$13:$Q$128,Children!$B$13:$B$128,Families!A57)</f>
        <v>45905</v>
      </c>
      <c r="K57" s="9">
        <f t="shared" si="2"/>
        <v>1337.1924800000002</v>
      </c>
      <c r="L57" s="9">
        <f>MIN((J57-K57) * CCRRate,
(CCRMax*H57))</f>
        <v>15226</v>
      </c>
      <c r="M57" s="10">
        <f t="shared" si="1"/>
        <v>29341.807519999998</v>
      </c>
    </row>
    <row r="58" spans="1:13" x14ac:dyDescent="0.8">
      <c r="A58" s="2" t="s">
        <v>295</v>
      </c>
      <c r="B58" s="2" t="s">
        <v>296</v>
      </c>
      <c r="C58" s="2" t="s">
        <v>15</v>
      </c>
      <c r="D58" s="2" t="s">
        <v>296</v>
      </c>
      <c r="E58" s="2" t="s">
        <v>297</v>
      </c>
      <c r="F58" s="2" t="s">
        <v>296</v>
      </c>
      <c r="G58" s="9">
        <v>178119</v>
      </c>
      <c r="H58" s="2">
        <f>COUNTIF(Children!$B$13:$B$128,A58)</f>
        <v>1</v>
      </c>
      <c r="I58" s="2">
        <f>10*SUMIFS(Children!$K$13:$K$128,Children!$B$13:$B$128,Families!A58)</f>
        <v>30</v>
      </c>
      <c r="J58" s="9">
        <f>SUMIFS(Children!$Q$13:$Q$128,Children!$B$13:$B$128,Families!A58)</f>
        <v>12065</v>
      </c>
      <c r="K58" s="9">
        <f t="shared" si="2"/>
        <v>0</v>
      </c>
      <c r="L58" s="9">
        <f>MIN((J58-K58) * CCRRate,
(CCRMax*H58))</f>
        <v>6032.5</v>
      </c>
      <c r="M58" s="10">
        <f t="shared" si="1"/>
        <v>6032.5</v>
      </c>
    </row>
    <row r="59" spans="1:13" x14ac:dyDescent="0.8">
      <c r="A59" s="2" t="s">
        <v>298</v>
      </c>
      <c r="B59" s="2" t="s">
        <v>299</v>
      </c>
      <c r="C59" s="2" t="s">
        <v>300</v>
      </c>
      <c r="D59" s="2" t="s">
        <v>299</v>
      </c>
      <c r="E59" s="2" t="s">
        <v>161</v>
      </c>
      <c r="F59" s="2" t="s">
        <v>299</v>
      </c>
      <c r="G59" s="9">
        <v>190133</v>
      </c>
      <c r="H59" s="2">
        <f>COUNTIF(Children!$B$13:$B$128,A59)</f>
        <v>1</v>
      </c>
      <c r="I59" s="2">
        <f>10*SUMIFS(Children!$K$13:$K$128,Children!$B$13:$B$128,Families!A59)</f>
        <v>40</v>
      </c>
      <c r="J59" s="9">
        <f>SUMIFS(Children!$Q$13:$Q$128,Children!$B$13:$B$128,Families!A59)</f>
        <v>14720</v>
      </c>
      <c r="K59" s="9">
        <f t="shared" si="2"/>
        <v>0</v>
      </c>
      <c r="L59" s="9">
        <f>MIN((J59-K59) * CCRRate,
(CCRMax*H59))</f>
        <v>7360</v>
      </c>
      <c r="M59" s="10">
        <f t="shared" si="1"/>
        <v>7360</v>
      </c>
    </row>
    <row r="60" spans="1:13" x14ac:dyDescent="0.8">
      <c r="A60" s="2" t="s">
        <v>301</v>
      </c>
      <c r="B60" s="2" t="s">
        <v>302</v>
      </c>
      <c r="C60" s="2" t="s">
        <v>303</v>
      </c>
      <c r="D60" s="2" t="s">
        <v>302</v>
      </c>
      <c r="E60" s="2" t="s">
        <v>304</v>
      </c>
      <c r="F60" s="2" t="s">
        <v>305</v>
      </c>
      <c r="G60" s="9">
        <v>100968</v>
      </c>
      <c r="H60" s="2">
        <f>COUNTIF(Children!$B$13:$B$128,A60)</f>
        <v>2</v>
      </c>
      <c r="I60" s="2">
        <f>10*SUMIFS(Children!$K$13:$K$128,Children!$B$13:$B$128,Families!A60)</f>
        <v>120</v>
      </c>
      <c r="J60" s="9">
        <f>SUMIFS(Children!$Q$13:$Q$128,Children!$B$13:$B$128,Families!A60)</f>
        <v>60865</v>
      </c>
      <c r="K60" s="9">
        <f t="shared" si="2"/>
        <v>925.4674</v>
      </c>
      <c r="L60" s="9">
        <f>MIN((J60-K60) * CCRRate,
(CCRMax*H60))</f>
        <v>15226</v>
      </c>
      <c r="M60" s="10">
        <f t="shared" si="1"/>
        <v>44713.532599999999</v>
      </c>
    </row>
    <row r="61" spans="1:13" x14ac:dyDescent="0.8">
      <c r="A61" s="2" t="s">
        <v>306</v>
      </c>
      <c r="B61" s="2" t="s">
        <v>307</v>
      </c>
      <c r="C61" s="2" t="s">
        <v>308</v>
      </c>
      <c r="D61" s="2" t="s">
        <v>307</v>
      </c>
      <c r="E61" s="2" t="s">
        <v>309</v>
      </c>
      <c r="F61" s="2" t="s">
        <v>307</v>
      </c>
      <c r="G61" s="9">
        <v>156256</v>
      </c>
      <c r="H61" s="2">
        <f>COUNTIF(Children!$B$13:$B$128,A61)</f>
        <v>2</v>
      </c>
      <c r="I61" s="2">
        <f>10*SUMIFS(Children!$K$13:$K$128,Children!$B$13:$B$128,Families!A61)</f>
        <v>100</v>
      </c>
      <c r="J61" s="9">
        <f>SUMIFS(Children!$Q$13:$Q$128,Children!$B$13:$B$128,Families!A61)</f>
        <v>50800</v>
      </c>
      <c r="K61" s="9">
        <f t="shared" si="2"/>
        <v>0</v>
      </c>
      <c r="L61" s="9">
        <f>MIN((J61-K61) * CCRRate,
(CCRMax*H61))</f>
        <v>15226</v>
      </c>
      <c r="M61" s="10">
        <f t="shared" si="1"/>
        <v>35574</v>
      </c>
    </row>
    <row r="62" spans="1:13" x14ac:dyDescent="0.8">
      <c r="A62" s="2" t="s">
        <v>310</v>
      </c>
      <c r="B62" s="2" t="s">
        <v>311</v>
      </c>
      <c r="C62" s="2" t="s">
        <v>312</v>
      </c>
      <c r="D62" s="2" t="s">
        <v>311</v>
      </c>
      <c r="E62" s="2" t="s">
        <v>313</v>
      </c>
      <c r="F62" s="2" t="s">
        <v>311</v>
      </c>
      <c r="G62" s="9">
        <v>173190</v>
      </c>
      <c r="H62" s="2">
        <f>COUNTIF(Children!$B$13:$B$128,A62)</f>
        <v>3</v>
      </c>
      <c r="I62" s="2">
        <f>10*SUMIFS(Children!$K$13:$K$128,Children!$B$13:$B$128,Families!A62)</f>
        <v>180</v>
      </c>
      <c r="J62" s="9">
        <f>SUMIFS(Children!$Q$13:$Q$128,Children!$B$13:$B$128,Families!A62)</f>
        <v>99260</v>
      </c>
      <c r="K62" s="9">
        <f t="shared" si="2"/>
        <v>0</v>
      </c>
      <c r="L62" s="9">
        <f>MIN((J62-K62) * CCRRate,
(CCRMax*H62))</f>
        <v>22839</v>
      </c>
      <c r="M62" s="10">
        <f t="shared" si="1"/>
        <v>76421</v>
      </c>
    </row>
    <row r="63" spans="1:13" x14ac:dyDescent="0.8">
      <c r="A63" s="2" t="s">
        <v>314</v>
      </c>
      <c r="B63" s="2" t="s">
        <v>315</v>
      </c>
      <c r="C63" s="2" t="s">
        <v>316</v>
      </c>
      <c r="D63" s="2" t="s">
        <v>315</v>
      </c>
      <c r="E63" s="2" t="s">
        <v>317</v>
      </c>
      <c r="F63" s="2" t="s">
        <v>318</v>
      </c>
      <c r="G63" s="9">
        <v>100201</v>
      </c>
      <c r="H63" s="2">
        <f>COUNTIF(Children!$B$13:$B$128,A63)</f>
        <v>2</v>
      </c>
      <c r="I63" s="2">
        <f>10*SUMIFS(Children!$K$13:$K$128,Children!$B$13:$B$128,Families!A63)</f>
        <v>80</v>
      </c>
      <c r="J63" s="9">
        <f>SUMIFS(Children!$Q$13:$Q$128,Children!$B$13:$B$128,Families!A63)</f>
        <v>36310</v>
      </c>
      <c r="K63" s="9">
        <f t="shared" si="2"/>
        <v>1501.4875199999999</v>
      </c>
      <c r="L63" s="9">
        <f>MIN((J63-K63) * CCRRate,
(CCRMax*H63))</f>
        <v>15226</v>
      </c>
      <c r="M63" s="10">
        <f t="shared" si="1"/>
        <v>19582.512480000001</v>
      </c>
    </row>
    <row r="64" spans="1:13" x14ac:dyDescent="0.8">
      <c r="A64" s="2" t="s">
        <v>319</v>
      </c>
      <c r="B64" s="2" t="s">
        <v>320</v>
      </c>
      <c r="C64" s="2" t="s">
        <v>321</v>
      </c>
      <c r="D64" s="2" t="s">
        <v>320</v>
      </c>
      <c r="E64" s="2" t="s">
        <v>322</v>
      </c>
      <c r="F64" s="2" t="s">
        <v>320</v>
      </c>
      <c r="G64" s="9">
        <v>93612</v>
      </c>
      <c r="H64" s="2">
        <f>COUNTIF(Children!$B$13:$B$128,A64)</f>
        <v>1</v>
      </c>
      <c r="I64" s="2">
        <f>10*SUMIFS(Children!$K$13:$K$128,Children!$B$13:$B$128,Families!A64)</f>
        <v>30</v>
      </c>
      <c r="J64" s="9">
        <f>SUMIFS(Children!$Q$13:$Q$128,Children!$B$13:$B$128,Families!A64)</f>
        <v>16170</v>
      </c>
      <c r="K64" s="9">
        <f t="shared" si="2"/>
        <v>629.87027999999998</v>
      </c>
      <c r="L64" s="9">
        <f>MIN((J64-K64) * CCRRate,
(CCRMax*H64))</f>
        <v>7613</v>
      </c>
      <c r="M64" s="10">
        <f t="shared" si="1"/>
        <v>7927.1297200000008</v>
      </c>
    </row>
    <row r="65" spans="1:13" x14ac:dyDescent="0.8">
      <c r="A65" s="2" t="s">
        <v>323</v>
      </c>
      <c r="B65" s="2" t="s">
        <v>324</v>
      </c>
      <c r="C65" s="2" t="s">
        <v>325</v>
      </c>
      <c r="D65" s="2" t="s">
        <v>324</v>
      </c>
      <c r="E65" s="2" t="s">
        <v>326</v>
      </c>
      <c r="F65" s="2" t="s">
        <v>327</v>
      </c>
      <c r="G65" s="9">
        <v>89272</v>
      </c>
      <c r="H65" s="2">
        <f>COUNTIF(Children!$B$13:$B$128,A65)</f>
        <v>1</v>
      </c>
      <c r="I65" s="2">
        <f>10*SUMIFS(Children!$K$13:$K$128,Children!$B$13:$B$128,Families!A65)</f>
        <v>30</v>
      </c>
      <c r="J65" s="9">
        <f>SUMIFS(Children!$Q$13:$Q$128,Children!$B$13:$B$128,Families!A65)</f>
        <v>13860</v>
      </c>
      <c r="K65" s="9">
        <f t="shared" si="2"/>
        <v>673.87788</v>
      </c>
      <c r="L65" s="9">
        <f>MIN((J65-K65) * CCRRate,
(CCRMax*H65))</f>
        <v>6593.06106</v>
      </c>
      <c r="M65" s="10">
        <f t="shared" si="1"/>
        <v>6593.06106</v>
      </c>
    </row>
    <row r="66" spans="1:13" x14ac:dyDescent="0.8">
      <c r="A66" s="2" t="s">
        <v>328</v>
      </c>
      <c r="B66" s="2" t="s">
        <v>329</v>
      </c>
      <c r="C66" s="2" t="s">
        <v>330</v>
      </c>
      <c r="D66" s="2" t="s">
        <v>329</v>
      </c>
      <c r="E66" s="2" t="s">
        <v>331</v>
      </c>
      <c r="F66" s="2" t="s">
        <v>332</v>
      </c>
      <c r="G66" s="9">
        <v>180628</v>
      </c>
      <c r="H66" s="2">
        <f>COUNTIF(Children!$B$13:$B$128,A66)</f>
        <v>1</v>
      </c>
      <c r="I66" s="2">
        <f>10*SUMIFS(Children!$K$13:$K$128,Children!$B$13:$B$128,Families!A66)</f>
        <v>20</v>
      </c>
      <c r="J66" s="9">
        <f>SUMIFS(Children!$Q$13:$Q$128,Children!$B$13:$B$128,Families!A66)</f>
        <v>10230</v>
      </c>
      <c r="K66" s="9">
        <f t="shared" si="2"/>
        <v>0</v>
      </c>
      <c r="L66" s="9">
        <f>MIN((J66-K66) * CCRRate,
(CCRMax*H66))</f>
        <v>5115</v>
      </c>
      <c r="M66" s="10">
        <f t="shared" si="1"/>
        <v>5115</v>
      </c>
    </row>
    <row r="67" spans="1:13" x14ac:dyDescent="0.8">
      <c r="A67" s="2" t="s">
        <v>333</v>
      </c>
      <c r="B67" s="2" t="s">
        <v>22</v>
      </c>
      <c r="C67" s="2" t="s">
        <v>334</v>
      </c>
      <c r="D67" s="2" t="s">
        <v>22</v>
      </c>
      <c r="E67" s="2" t="s">
        <v>335</v>
      </c>
      <c r="F67" s="2" t="s">
        <v>336</v>
      </c>
      <c r="G67" s="9">
        <v>96445</v>
      </c>
      <c r="H67" s="2">
        <f>COUNTIF(Children!$B$13:$B$128,A67)</f>
        <v>1</v>
      </c>
      <c r="I67" s="2">
        <f>10*SUMIFS(Children!$K$13:$K$128,Children!$B$13:$B$128,Families!A67)</f>
        <v>10</v>
      </c>
      <c r="J67" s="9">
        <f>SUMIFS(Children!$Q$13:$Q$128,Children!$B$13:$B$128,Families!A67)</f>
        <v>4740</v>
      </c>
      <c r="K67" s="9">
        <f t="shared" si="2"/>
        <v>200.38121999999998</v>
      </c>
      <c r="L67" s="9">
        <f>MIN((J67-K67) * CCRRate,
(CCRMax*H67))</f>
        <v>2269.8093899999999</v>
      </c>
      <c r="M67" s="10">
        <f t="shared" si="1"/>
        <v>2269.8093900000003</v>
      </c>
    </row>
    <row r="68" spans="1:13" x14ac:dyDescent="0.8">
      <c r="A68" s="2" t="s">
        <v>337</v>
      </c>
      <c r="B68" s="2" t="s">
        <v>338</v>
      </c>
      <c r="C68" s="2" t="s">
        <v>161</v>
      </c>
      <c r="D68" s="2" t="s">
        <v>338</v>
      </c>
      <c r="E68" s="2"/>
      <c r="F68" s="2"/>
      <c r="G68" s="9">
        <v>49824</v>
      </c>
      <c r="H68" s="2">
        <f>COUNTIF(Children!$B$13:$B$128,A68)</f>
        <v>1</v>
      </c>
      <c r="I68" s="2">
        <f>10*SUMIFS(Children!$K$13:$K$128,Children!$B$13:$B$128,Families!A68)</f>
        <v>30</v>
      </c>
      <c r="J68" s="9">
        <f>SUMIFS(Children!$Q$13:$Q$128,Children!$B$13:$B$128,Families!A68)</f>
        <v>15015</v>
      </c>
      <c r="K68" s="9">
        <f t="shared" si="2"/>
        <v>1073.8806</v>
      </c>
      <c r="L68" s="9">
        <f>MIN((J68-K68) * CCRRate,
(CCRMax*H68))</f>
        <v>6970.5596999999998</v>
      </c>
      <c r="M68" s="10">
        <f t="shared" ref="M68:M70" si="3">J68-(K68+L68)</f>
        <v>6970.5596999999998</v>
      </c>
    </row>
    <row r="69" spans="1:13" x14ac:dyDescent="0.8">
      <c r="A69" s="2" t="s">
        <v>339</v>
      </c>
      <c r="B69" s="2" t="s">
        <v>340</v>
      </c>
      <c r="C69" s="2" t="s">
        <v>341</v>
      </c>
      <c r="D69" s="2" t="s">
        <v>340</v>
      </c>
      <c r="E69" s="2" t="s">
        <v>342</v>
      </c>
      <c r="F69" s="2" t="s">
        <v>343</v>
      </c>
      <c r="G69" s="9">
        <v>188205</v>
      </c>
      <c r="H69" s="2">
        <f>COUNTIF(Children!$B$13:$B$128,A69)</f>
        <v>2</v>
      </c>
      <c r="I69" s="2">
        <f>10*SUMIFS(Children!$K$13:$K$128,Children!$B$13:$B$128,Families!A69)</f>
        <v>60</v>
      </c>
      <c r="J69" s="9">
        <f>SUMIFS(Children!$Q$13:$Q$128,Children!$B$13:$B$128,Families!A69)</f>
        <v>31590</v>
      </c>
      <c r="K69" s="9">
        <f t="shared" si="2"/>
        <v>0</v>
      </c>
      <c r="L69" s="9">
        <f>MIN((J69-K69) * CCRRate,
(CCRMax*H69))</f>
        <v>15226</v>
      </c>
      <c r="M69" s="10">
        <f t="shared" si="3"/>
        <v>16364</v>
      </c>
    </row>
    <row r="70" spans="1:13" x14ac:dyDescent="0.8">
      <c r="A70" s="2" t="s">
        <v>344</v>
      </c>
      <c r="B70" s="2" t="s">
        <v>345</v>
      </c>
      <c r="C70" s="2" t="s">
        <v>346</v>
      </c>
      <c r="D70" s="2" t="s">
        <v>345</v>
      </c>
      <c r="E70" s="2" t="s">
        <v>347</v>
      </c>
      <c r="F70" s="2" t="s">
        <v>348</v>
      </c>
      <c r="G70" s="9">
        <v>113211</v>
      </c>
      <c r="H70" s="2">
        <f>COUNTIF(Children!$B$13:$B$128,A70)</f>
        <v>4</v>
      </c>
      <c r="I70" s="2">
        <f>10*SUMIFS(Children!$K$13:$K$128,Children!$B$13:$B$128,Families!A70)</f>
        <v>200</v>
      </c>
      <c r="J70" s="9">
        <f>SUMIFS(Children!$Q$13:$Q$128,Children!$B$13:$B$128,Families!A70)</f>
        <v>94430</v>
      </c>
      <c r="K70" s="9">
        <f t="shared" si="2"/>
        <v>718.5607</v>
      </c>
      <c r="L70" s="9">
        <f>MIN((J70-K70) * CCRRate,
(CCRMax*H70))</f>
        <v>30452</v>
      </c>
      <c r="M70" s="10">
        <f t="shared" si="3"/>
        <v>63259.439299999998</v>
      </c>
    </row>
  </sheetData>
  <mergeCells count="1">
    <mergeCell ref="A1:M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K20"/>
  <sheetViews>
    <sheetView tabSelected="1" topLeftCell="B1" zoomScale="55" zoomScaleNormal="55" workbookViewId="0">
      <selection activeCell="F5" sqref="F5"/>
    </sheetView>
  </sheetViews>
  <sheetFormatPr defaultColWidth="11" defaultRowHeight="16" x14ac:dyDescent="0.8"/>
  <cols>
    <col min="2" max="2" width="21.70703125" customWidth="1"/>
    <col min="4" max="4" width="13.7890625" customWidth="1"/>
    <col min="5" max="5" width="27.58203125" bestFit="1" customWidth="1"/>
    <col min="6" max="6" width="16.20703125" customWidth="1"/>
    <col min="7" max="7" width="13.08203125" bestFit="1" customWidth="1"/>
    <col min="8" max="8" width="35.0390625" bestFit="1" customWidth="1"/>
    <col min="9" max="9" width="15.375" bestFit="1" customWidth="1"/>
    <col min="11" max="11" width="16.08203125" customWidth="1"/>
    <col min="12" max="12" width="15.20703125" customWidth="1"/>
  </cols>
  <sheetData>
    <row r="2" spans="1:11" x14ac:dyDescent="0.8">
      <c r="A2" s="55" t="s">
        <v>695</v>
      </c>
      <c r="B2" s="55"/>
      <c r="D2" s="1" t="s">
        <v>696</v>
      </c>
      <c r="E2" t="s">
        <v>697</v>
      </c>
      <c r="H2" s="8" t="s">
        <v>698</v>
      </c>
      <c r="I2" s="1" t="s">
        <v>704</v>
      </c>
      <c r="K2" s="1" t="s">
        <v>655</v>
      </c>
    </row>
    <row r="3" spans="1:11" x14ac:dyDescent="0.8">
      <c r="A3" s="2">
        <v>0</v>
      </c>
      <c r="B3" s="2">
        <f>COUNTIF(Children!$H$13:$H$128,A3)</f>
        <v>13</v>
      </c>
      <c r="D3" s="2">
        <v>1</v>
      </c>
      <c r="E3" s="13">
        <f>B3*$D$3</f>
        <v>13</v>
      </c>
      <c r="H3" s="2">
        <v>3.5</v>
      </c>
      <c r="I3" s="2">
        <v>0.6</v>
      </c>
      <c r="K3" s="9">
        <f t="shared" ref="K3:K8" si="0">(((VLOOKUP(A3,CareCosts,2,FALSE)) * E3 *$H$3) +( (VLOOKUP(A3,CareCosts,2,FALSE) + SaturdayPenalty) * E3 * $I$3) ) * (52)</f>
        <v>336648</v>
      </c>
    </row>
    <row r="4" spans="1:11" x14ac:dyDescent="0.8">
      <c r="A4" s="2">
        <v>1</v>
      </c>
      <c r="B4" s="2">
        <f>COUNTIF(Children!$H$13:$H$128,A4)</f>
        <v>12</v>
      </c>
      <c r="E4" s="13">
        <f t="shared" ref="E4:E8" si="1">B4*$D$3</f>
        <v>12</v>
      </c>
      <c r="K4" s="9">
        <f t="shared" si="0"/>
        <v>285168</v>
      </c>
    </row>
    <row r="5" spans="1:11" x14ac:dyDescent="0.8">
      <c r="A5" s="2">
        <v>2</v>
      </c>
      <c r="B5" s="2">
        <f>COUNTIF(Children!$H$13:$H$128,A5)</f>
        <v>31</v>
      </c>
      <c r="E5" s="13">
        <f t="shared" si="1"/>
        <v>31</v>
      </c>
      <c r="K5" s="9">
        <f t="shared" si="0"/>
        <v>703638</v>
      </c>
    </row>
    <row r="6" spans="1:11" x14ac:dyDescent="0.8">
      <c r="A6" s="2">
        <v>3</v>
      </c>
      <c r="B6" s="2">
        <f>COUNTIF(Children!$H$13:$H$128,A6)</f>
        <v>32</v>
      </c>
      <c r="E6" s="13">
        <f>B6*$D$3</f>
        <v>32</v>
      </c>
      <c r="K6" s="9">
        <f t="shared" si="0"/>
        <v>624000</v>
      </c>
    </row>
    <row r="7" spans="1:11" x14ac:dyDescent="0.8">
      <c r="A7" s="2">
        <v>4</v>
      </c>
      <c r="B7" s="2">
        <f>COUNTIF(Children!$H$13:$H$128,A7)</f>
        <v>25</v>
      </c>
      <c r="E7" s="13">
        <f t="shared" si="1"/>
        <v>25</v>
      </c>
      <c r="K7" s="9">
        <f t="shared" si="0"/>
        <v>460850</v>
      </c>
    </row>
    <row r="8" spans="1:11" x14ac:dyDescent="0.8">
      <c r="A8" s="2">
        <v>5</v>
      </c>
      <c r="B8" s="2">
        <f>COUNTIF(Children!$H$13:$H$128,A8)</f>
        <v>3</v>
      </c>
      <c r="E8" s="13">
        <f t="shared" si="1"/>
        <v>3</v>
      </c>
      <c r="K8" s="9">
        <f t="shared" si="0"/>
        <v>52104</v>
      </c>
    </row>
    <row r="10" spans="1:11" x14ac:dyDescent="0.8">
      <c r="J10" s="1" t="s">
        <v>690</v>
      </c>
      <c r="K10" s="10">
        <f>SUM(K3:K8)</f>
        <v>2462408</v>
      </c>
    </row>
    <row r="11" spans="1:11" x14ac:dyDescent="0.8">
      <c r="F11" s="11"/>
      <c r="G11" s="12"/>
    </row>
    <row r="17" spans="2:7" x14ac:dyDescent="0.8">
      <c r="B17" s="35" t="s">
        <v>699</v>
      </c>
      <c r="C17" t="s">
        <v>700</v>
      </c>
      <c r="D17" t="s">
        <v>635</v>
      </c>
      <c r="E17" t="s">
        <v>701</v>
      </c>
      <c r="F17" t="s">
        <v>702</v>
      </c>
      <c r="G17" t="s">
        <v>703</v>
      </c>
    </row>
    <row r="18" spans="2:7" x14ac:dyDescent="0.8">
      <c r="B18" s="35" t="s">
        <v>696</v>
      </c>
      <c r="C18" s="36">
        <v>1</v>
      </c>
      <c r="D18" s="36">
        <v>0.8</v>
      </c>
      <c r="E18" s="36">
        <v>1.1000000000000001</v>
      </c>
      <c r="F18" s="36">
        <v>1.2</v>
      </c>
      <c r="G18" s="36">
        <v>1.4</v>
      </c>
    </row>
    <row r="19" spans="2:7" x14ac:dyDescent="0.8">
      <c r="B19" s="35" t="s">
        <v>712</v>
      </c>
      <c r="C19" s="20">
        <v>3.5</v>
      </c>
      <c r="D19" s="20">
        <v>2.5</v>
      </c>
      <c r="E19" s="20">
        <v>3.5</v>
      </c>
      <c r="F19" s="20">
        <v>4</v>
      </c>
      <c r="G19" s="20">
        <v>4.5</v>
      </c>
    </row>
    <row r="20" spans="2:7" x14ac:dyDescent="0.8">
      <c r="B20" s="35" t="s">
        <v>713</v>
      </c>
      <c r="C20" s="37">
        <v>0.6</v>
      </c>
      <c r="D20" s="37">
        <v>0.4</v>
      </c>
      <c r="E20" s="37">
        <v>0.6</v>
      </c>
      <c r="F20" s="37">
        <v>0.6</v>
      </c>
      <c r="G20" s="37">
        <v>0.7</v>
      </c>
    </row>
  </sheetData>
  <scenarios current="0" show="0" sqref="E3:E8 K3:K8 K10">
    <scenario name="Current" locked="1" count="3" user="John" comment="Created by John on 5/19/2018">
      <inputCells r="D3" val="1"/>
      <inputCells r="H3" val="3.5"/>
      <inputCells r="I3" val="0.6"/>
    </scenario>
    <scenario name="Low" locked="1" count="3" user="John" comment="Created by John on 5/19/2018">
      <inputCells r="D3" val="0.8"/>
      <inputCells r="H3" val="2.5"/>
      <inputCells r="I3" val="0.4"/>
    </scenario>
    <scenario name="Mild Increase" locked="1" count="3" user="John" comment="Created by John on 5/19/2018">
      <inputCells r="D3" val="1.1"/>
      <inputCells r="H3" val="3.5"/>
      <inputCells r="I3" val="0.6"/>
    </scenario>
    <scenario name="Medium Increase" locked="1" count="3" user="John" comment="Created by John on 5/19/2018">
      <inputCells r="D3" val="1.2"/>
      <inputCells r="H3" val="4"/>
      <inputCells r="I3" val="0.6"/>
    </scenario>
    <scenario name="Major Increase" locked="1" count="3" user="John" comment="Created by John on 5/19/2018">
      <inputCells r="D3" val="1.4"/>
      <inputCells r="H3" val="4.5"/>
      <inputCells r="I3" val="0.7"/>
    </scenario>
  </scenarios>
  <mergeCells count="1">
    <mergeCell ref="A2:B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9DAA2-47E3-4CBA-8AA1-30513C5844E6}">
  <sheetPr>
    <outlinePr summaryBelow="0"/>
  </sheetPr>
  <dimension ref="B1:I22"/>
  <sheetViews>
    <sheetView showGridLines="0" topLeftCell="A5" zoomScale="55" zoomScaleNormal="55" workbookViewId="0">
      <selection activeCell="I15" sqref="I15"/>
    </sheetView>
  </sheetViews>
  <sheetFormatPr defaultRowHeight="16" outlineLevelRow="1" outlineLevelCol="1" x14ac:dyDescent="0.8"/>
  <cols>
    <col min="3" max="3" width="36.625" customWidth="1"/>
    <col min="4" max="4" width="14.20703125" bestFit="1" customWidth="1" outlineLevel="1"/>
    <col min="5" max="9" width="18.08203125" bestFit="1" customWidth="1" outlineLevel="1"/>
  </cols>
  <sheetData>
    <row r="1" spans="2:8" ht="16.75" thickBot="1" x14ac:dyDescent="0.95"/>
    <row r="2" spans="2:8" ht="18.5" x14ac:dyDescent="0.9">
      <c r="B2" s="39" t="s">
        <v>733</v>
      </c>
      <c r="C2" s="39"/>
      <c r="D2" s="44"/>
      <c r="E2" s="44"/>
      <c r="F2" s="44"/>
      <c r="G2" s="44"/>
      <c r="H2" s="44"/>
    </row>
    <row r="3" spans="2:8" ht="18.5" collapsed="1" x14ac:dyDescent="0.9">
      <c r="B3" s="38"/>
      <c r="C3" s="38"/>
      <c r="D3" s="45" t="s">
        <v>700</v>
      </c>
      <c r="E3" s="45" t="s">
        <v>635</v>
      </c>
      <c r="F3" s="45" t="s">
        <v>701</v>
      </c>
      <c r="G3" s="45" t="s">
        <v>702</v>
      </c>
      <c r="H3" s="45" t="s">
        <v>703</v>
      </c>
    </row>
    <row r="4" spans="2:8" ht="22" hidden="1" outlineLevel="1" x14ac:dyDescent="0.8">
      <c r="B4" s="41"/>
      <c r="C4" s="41"/>
      <c r="D4" s="46" t="s">
        <v>714</v>
      </c>
      <c r="E4" s="46" t="s">
        <v>714</v>
      </c>
      <c r="F4" s="46" t="s">
        <v>714</v>
      </c>
      <c r="G4" s="46" t="s">
        <v>714</v>
      </c>
      <c r="H4" s="46" t="s">
        <v>714</v>
      </c>
    </row>
    <row r="5" spans="2:8" x14ac:dyDescent="0.8">
      <c r="B5" s="42" t="s">
        <v>715</v>
      </c>
      <c r="C5" s="42"/>
      <c r="D5" s="40"/>
      <c r="E5" s="40"/>
      <c r="F5" s="40"/>
      <c r="G5" s="40"/>
      <c r="H5" s="40"/>
    </row>
    <row r="6" spans="2:8" outlineLevel="1" x14ac:dyDescent="0.8">
      <c r="B6" s="41"/>
      <c r="C6" s="41" t="s">
        <v>717</v>
      </c>
      <c r="D6" s="63">
        <v>1</v>
      </c>
      <c r="E6" s="63">
        <v>0.8</v>
      </c>
      <c r="F6" s="63">
        <v>1.1000000000000001</v>
      </c>
      <c r="G6" s="63">
        <v>1.2</v>
      </c>
      <c r="H6" s="63">
        <v>1.4</v>
      </c>
    </row>
    <row r="7" spans="2:8" outlineLevel="1" x14ac:dyDescent="0.8">
      <c r="B7" s="41"/>
      <c r="C7" s="41" t="s">
        <v>718</v>
      </c>
      <c r="D7" s="63">
        <v>3.5</v>
      </c>
      <c r="E7" s="63">
        <v>2.5</v>
      </c>
      <c r="F7" s="63">
        <v>3.5</v>
      </c>
      <c r="G7" s="63">
        <v>4</v>
      </c>
      <c r="H7" s="63">
        <v>4.5</v>
      </c>
    </row>
    <row r="8" spans="2:8" outlineLevel="1" x14ac:dyDescent="0.8">
      <c r="B8" s="41"/>
      <c r="C8" s="41" t="s">
        <v>719</v>
      </c>
      <c r="D8" s="63">
        <v>0.6</v>
      </c>
      <c r="E8" s="63">
        <v>0.4</v>
      </c>
      <c r="F8" s="63">
        <v>0.6</v>
      </c>
      <c r="G8" s="63">
        <v>0.6</v>
      </c>
      <c r="H8" s="63">
        <v>0.7</v>
      </c>
    </row>
    <row r="9" spans="2:8" x14ac:dyDescent="0.8">
      <c r="B9" s="42" t="s">
        <v>716</v>
      </c>
      <c r="C9" s="42"/>
      <c r="D9" s="64"/>
      <c r="E9" s="64"/>
      <c r="F9" s="64"/>
      <c r="G9" s="64"/>
      <c r="H9" s="64"/>
    </row>
    <row r="10" spans="2:8" outlineLevel="1" x14ac:dyDescent="0.8">
      <c r="B10" s="41"/>
      <c r="C10" s="41" t="s">
        <v>720</v>
      </c>
      <c r="D10" s="65">
        <v>13</v>
      </c>
      <c r="E10" s="65">
        <v>10.4</v>
      </c>
      <c r="F10" s="65">
        <v>14.3</v>
      </c>
      <c r="G10" s="65">
        <v>15.6</v>
      </c>
      <c r="H10" s="65">
        <v>18.2</v>
      </c>
    </row>
    <row r="11" spans="2:8" outlineLevel="1" x14ac:dyDescent="0.8">
      <c r="B11" s="41"/>
      <c r="C11" s="41" t="s">
        <v>721</v>
      </c>
      <c r="D11" s="65">
        <v>12</v>
      </c>
      <c r="E11" s="65">
        <v>9.6</v>
      </c>
      <c r="F11" s="65">
        <v>13.2</v>
      </c>
      <c r="G11" s="65">
        <v>14.4</v>
      </c>
      <c r="H11" s="65">
        <v>16.8</v>
      </c>
    </row>
    <row r="12" spans="2:8" outlineLevel="1" x14ac:dyDescent="0.8">
      <c r="B12" s="41"/>
      <c r="C12" s="41" t="s">
        <v>725</v>
      </c>
      <c r="D12" s="65">
        <v>31</v>
      </c>
      <c r="E12" s="65">
        <v>24.8</v>
      </c>
      <c r="F12" s="65">
        <v>34.1</v>
      </c>
      <c r="G12" s="65">
        <v>37.200000000000003</v>
      </c>
      <c r="H12" s="65">
        <v>43.4</v>
      </c>
    </row>
    <row r="13" spans="2:8" outlineLevel="1" x14ac:dyDescent="0.8">
      <c r="B13" s="41"/>
      <c r="C13" s="41" t="s">
        <v>722</v>
      </c>
      <c r="D13" s="65">
        <v>32</v>
      </c>
      <c r="E13" s="65">
        <v>25.6</v>
      </c>
      <c r="F13" s="65">
        <v>35.200000000000003</v>
      </c>
      <c r="G13" s="65">
        <v>38.4</v>
      </c>
      <c r="H13" s="65">
        <v>44.8</v>
      </c>
    </row>
    <row r="14" spans="2:8" outlineLevel="1" x14ac:dyDescent="0.8">
      <c r="B14" s="41"/>
      <c r="C14" s="41" t="s">
        <v>723</v>
      </c>
      <c r="D14" s="65">
        <v>25</v>
      </c>
      <c r="E14" s="65">
        <v>20</v>
      </c>
      <c r="F14" s="65">
        <v>27.5</v>
      </c>
      <c r="G14" s="65">
        <v>30</v>
      </c>
      <c r="H14" s="65">
        <v>35</v>
      </c>
    </row>
    <row r="15" spans="2:8" outlineLevel="1" x14ac:dyDescent="0.8">
      <c r="B15" s="41"/>
      <c r="C15" s="41" t="s">
        <v>724</v>
      </c>
      <c r="D15" s="65">
        <v>3</v>
      </c>
      <c r="E15" s="65">
        <v>2.4</v>
      </c>
      <c r="F15" s="65">
        <v>3.3</v>
      </c>
      <c r="G15" s="65">
        <v>3.6</v>
      </c>
      <c r="H15" s="65">
        <v>4.2</v>
      </c>
    </row>
    <row r="16" spans="2:8" outlineLevel="1" x14ac:dyDescent="0.8">
      <c r="B16" s="41"/>
      <c r="C16" s="41" t="s">
        <v>726</v>
      </c>
      <c r="D16" s="47">
        <v>336648</v>
      </c>
      <c r="E16" s="47">
        <v>190361.60000000001</v>
      </c>
      <c r="F16" s="47">
        <v>370312.8</v>
      </c>
      <c r="G16" s="47">
        <v>452649.6</v>
      </c>
      <c r="H16" s="47">
        <v>597178.4</v>
      </c>
    </row>
    <row r="17" spans="2:8" outlineLevel="1" x14ac:dyDescent="0.8">
      <c r="B17" s="41"/>
      <c r="C17" s="41" t="s">
        <v>727</v>
      </c>
      <c r="D17" s="47">
        <v>285168</v>
      </c>
      <c r="E17" s="47">
        <v>161241.60000000001</v>
      </c>
      <c r="F17" s="47">
        <v>313684.8</v>
      </c>
      <c r="G17" s="47">
        <v>383385.59999999998</v>
      </c>
      <c r="H17" s="47">
        <v>505814.4</v>
      </c>
    </row>
    <row r="18" spans="2:8" outlineLevel="1" x14ac:dyDescent="0.8">
      <c r="B18" s="41"/>
      <c r="C18" s="41" t="s">
        <v>728</v>
      </c>
      <c r="D18" s="47">
        <v>703638</v>
      </c>
      <c r="E18" s="47">
        <v>397841.6</v>
      </c>
      <c r="F18" s="47">
        <v>774001.8</v>
      </c>
      <c r="G18" s="47">
        <v>945921.6</v>
      </c>
      <c r="H18" s="47">
        <v>1248010.3999999999</v>
      </c>
    </row>
    <row r="19" spans="2:8" outlineLevel="1" x14ac:dyDescent="0.8">
      <c r="B19" s="41"/>
      <c r="C19" s="41" t="s">
        <v>729</v>
      </c>
      <c r="D19" s="47">
        <v>624000</v>
      </c>
      <c r="E19" s="47">
        <v>352768</v>
      </c>
      <c r="F19" s="47">
        <v>686400</v>
      </c>
      <c r="G19" s="47">
        <v>838656</v>
      </c>
      <c r="H19" s="47">
        <v>1106560</v>
      </c>
    </row>
    <row r="20" spans="2:8" outlineLevel="1" x14ac:dyDescent="0.8">
      <c r="B20" s="41"/>
      <c r="C20" s="41" t="s">
        <v>730</v>
      </c>
      <c r="D20" s="47">
        <v>460850</v>
      </c>
      <c r="E20" s="47">
        <v>260520</v>
      </c>
      <c r="F20" s="47">
        <v>506935</v>
      </c>
      <c r="G20" s="47">
        <v>619320</v>
      </c>
      <c r="H20" s="47">
        <v>817180</v>
      </c>
    </row>
    <row r="21" spans="2:8" outlineLevel="1" x14ac:dyDescent="0.8">
      <c r="B21" s="41"/>
      <c r="C21" s="41" t="s">
        <v>731</v>
      </c>
      <c r="D21" s="47">
        <v>52104</v>
      </c>
      <c r="E21" s="47">
        <v>29452.799999999999</v>
      </c>
      <c r="F21" s="47">
        <v>57314.400000000001</v>
      </c>
      <c r="G21" s="47">
        <v>70012.800000000003</v>
      </c>
      <c r="H21" s="47">
        <v>92383.2</v>
      </c>
    </row>
    <row r="22" spans="2:8" ht="16.75" outlineLevel="1" thickBot="1" x14ac:dyDescent="0.95">
      <c r="B22" s="43"/>
      <c r="C22" s="43" t="s">
        <v>732</v>
      </c>
      <c r="D22" s="48">
        <v>2462408</v>
      </c>
      <c r="E22" s="48">
        <v>1392185.6</v>
      </c>
      <c r="F22" s="48">
        <v>2708648.8</v>
      </c>
      <c r="G22" s="48">
        <v>3309945.6</v>
      </c>
      <c r="H22" s="48">
        <v>4367126.4000000004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7291D-746D-4AC6-9DD2-1FA2DAA03B11}">
  <dimension ref="A1:G34"/>
  <sheetViews>
    <sheetView showGridLines="0" topLeftCell="A16" workbookViewId="0"/>
  </sheetViews>
  <sheetFormatPr defaultRowHeight="16" x14ac:dyDescent="0.8"/>
  <cols>
    <col min="1" max="1" width="2.125" customWidth="1"/>
    <col min="2" max="2" width="5.125" bestFit="1" customWidth="1"/>
    <col min="3" max="3" width="30.6640625" bestFit="1" customWidth="1"/>
    <col min="4" max="4" width="12.4140625" bestFit="1" customWidth="1"/>
    <col min="5" max="5" width="16.70703125" bestFit="1" customWidth="1"/>
    <col min="6" max="6" width="10.1640625" bestFit="1" customWidth="1"/>
    <col min="7" max="7" width="11.625" bestFit="1" customWidth="1"/>
  </cols>
  <sheetData>
    <row r="1" spans="1:5" x14ac:dyDescent="0.8">
      <c r="A1" s="49" t="s">
        <v>734</v>
      </c>
    </row>
    <row r="2" spans="1:5" x14ac:dyDescent="0.8">
      <c r="A2" s="49" t="s">
        <v>735</v>
      </c>
    </row>
    <row r="3" spans="1:5" x14ac:dyDescent="0.8">
      <c r="A3" s="49" t="s">
        <v>777</v>
      </c>
    </row>
    <row r="4" spans="1:5" x14ac:dyDescent="0.8">
      <c r="A4" s="49" t="s">
        <v>778</v>
      </c>
    </row>
    <row r="5" spans="1:5" x14ac:dyDescent="0.8">
      <c r="A5" s="49" t="s">
        <v>736</v>
      </c>
    </row>
    <row r="6" spans="1:5" x14ac:dyDescent="0.8">
      <c r="A6" s="49"/>
      <c r="B6" t="s">
        <v>737</v>
      </c>
    </row>
    <row r="7" spans="1:5" x14ac:dyDescent="0.8">
      <c r="A7" s="49"/>
      <c r="B7" t="s">
        <v>779</v>
      </c>
    </row>
    <row r="8" spans="1:5" x14ac:dyDescent="0.8">
      <c r="A8" s="49"/>
      <c r="B8" t="s">
        <v>780</v>
      </c>
    </row>
    <row r="9" spans="1:5" x14ac:dyDescent="0.8">
      <c r="A9" s="49" t="s">
        <v>738</v>
      </c>
    </row>
    <row r="10" spans="1:5" x14ac:dyDescent="0.8">
      <c r="B10" t="s">
        <v>739</v>
      </c>
    </row>
    <row r="11" spans="1:5" x14ac:dyDescent="0.8">
      <c r="B11" t="s">
        <v>740</v>
      </c>
    </row>
    <row r="12" spans="1:5" x14ac:dyDescent="0.8">
      <c r="B12" t="s">
        <v>741</v>
      </c>
    </row>
    <row r="14" spans="1:5" ht="16.75" thickBot="1" x14ac:dyDescent="0.95">
      <c r="A14" t="s">
        <v>742</v>
      </c>
    </row>
    <row r="15" spans="1:5" ht="16.75" thickBot="1" x14ac:dyDescent="0.95">
      <c r="B15" s="51" t="s">
        <v>743</v>
      </c>
      <c r="C15" s="51" t="s">
        <v>744</v>
      </c>
      <c r="D15" s="51" t="s">
        <v>745</v>
      </c>
      <c r="E15" s="51" t="s">
        <v>746</v>
      </c>
    </row>
    <row r="16" spans="1:5" ht="16.75" thickBot="1" x14ac:dyDescent="0.95">
      <c r="B16" s="50" t="s">
        <v>754</v>
      </c>
      <c r="C16" s="50" t="s">
        <v>755</v>
      </c>
      <c r="D16" s="53">
        <v>0</v>
      </c>
      <c r="E16" s="53">
        <v>8883.0751792285173</v>
      </c>
    </row>
    <row r="19" spans="1:7" ht="16.75" thickBot="1" x14ac:dyDescent="0.95">
      <c r="A19" t="s">
        <v>747</v>
      </c>
    </row>
    <row r="20" spans="1:7" ht="16.75" thickBot="1" x14ac:dyDescent="0.95">
      <c r="B20" s="51" t="s">
        <v>743</v>
      </c>
      <c r="C20" s="51" t="s">
        <v>744</v>
      </c>
      <c r="D20" s="51" t="s">
        <v>745</v>
      </c>
      <c r="E20" s="51" t="s">
        <v>746</v>
      </c>
      <c r="F20" s="51" t="s">
        <v>748</v>
      </c>
    </row>
    <row r="21" spans="1:7" x14ac:dyDescent="0.8">
      <c r="B21" s="52" t="s">
        <v>756</v>
      </c>
      <c r="C21" s="52" t="s">
        <v>757</v>
      </c>
      <c r="D21" s="54">
        <v>0</v>
      </c>
      <c r="E21" s="54">
        <v>23384.964154296456</v>
      </c>
      <c r="F21" s="52" t="s">
        <v>758</v>
      </c>
    </row>
    <row r="22" spans="1:7" x14ac:dyDescent="0.8">
      <c r="B22" s="52" t="s">
        <v>759</v>
      </c>
      <c r="C22" s="52" t="s">
        <v>760</v>
      </c>
      <c r="D22" s="54">
        <v>0</v>
      </c>
      <c r="E22" s="54">
        <v>26615.035845703547</v>
      </c>
      <c r="F22" s="52" t="s">
        <v>758</v>
      </c>
    </row>
    <row r="23" spans="1:7" x14ac:dyDescent="0.8">
      <c r="B23" s="52" t="s">
        <v>761</v>
      </c>
      <c r="C23" s="52" t="s">
        <v>762</v>
      </c>
      <c r="D23" s="54">
        <v>0</v>
      </c>
      <c r="E23" s="54">
        <v>26615.03584570354</v>
      </c>
      <c r="F23" s="52" t="s">
        <v>758</v>
      </c>
    </row>
    <row r="24" spans="1:7" x14ac:dyDescent="0.8">
      <c r="B24" s="52" t="s">
        <v>763</v>
      </c>
      <c r="C24" s="52" t="s">
        <v>764</v>
      </c>
      <c r="D24" s="54">
        <v>0</v>
      </c>
      <c r="E24" s="54">
        <v>0</v>
      </c>
      <c r="F24" s="52" t="s">
        <v>758</v>
      </c>
    </row>
    <row r="25" spans="1:7" ht="16.75" thickBot="1" x14ac:dyDescent="0.95">
      <c r="B25" s="50" t="s">
        <v>765</v>
      </c>
      <c r="C25" s="50" t="s">
        <v>766</v>
      </c>
      <c r="D25" s="53">
        <v>0</v>
      </c>
      <c r="E25" s="53">
        <v>23384.964154296456</v>
      </c>
      <c r="F25" s="50" t="s">
        <v>758</v>
      </c>
    </row>
    <row r="28" spans="1:7" ht="16.75" thickBot="1" x14ac:dyDescent="0.95">
      <c r="A28" t="s">
        <v>749</v>
      </c>
    </row>
    <row r="29" spans="1:7" ht="16.75" thickBot="1" x14ac:dyDescent="0.95">
      <c r="B29" s="51" t="s">
        <v>743</v>
      </c>
      <c r="C29" s="51" t="s">
        <v>744</v>
      </c>
      <c r="D29" s="51" t="s">
        <v>750</v>
      </c>
      <c r="E29" s="51" t="s">
        <v>751</v>
      </c>
      <c r="F29" s="51" t="s">
        <v>752</v>
      </c>
      <c r="G29" s="51" t="s">
        <v>753</v>
      </c>
    </row>
    <row r="30" spans="1:7" x14ac:dyDescent="0.8">
      <c r="B30" s="52" t="s">
        <v>767</v>
      </c>
      <c r="C30" s="52" t="s">
        <v>768</v>
      </c>
      <c r="D30" s="54">
        <v>99999.999999999985</v>
      </c>
      <c r="E30" s="52" t="s">
        <v>769</v>
      </c>
      <c r="F30" s="52" t="s">
        <v>770</v>
      </c>
      <c r="G30" s="52">
        <v>0</v>
      </c>
    </row>
    <row r="31" spans="1:7" x14ac:dyDescent="0.8">
      <c r="B31" s="52" t="s">
        <v>771</v>
      </c>
      <c r="C31" s="52" t="s">
        <v>640</v>
      </c>
      <c r="D31" s="54">
        <v>50000</v>
      </c>
      <c r="E31" s="52" t="s">
        <v>772</v>
      </c>
      <c r="F31" s="52" t="s">
        <v>770</v>
      </c>
      <c r="G31" s="54">
        <v>0</v>
      </c>
    </row>
    <row r="32" spans="1:7" x14ac:dyDescent="0.8">
      <c r="B32" s="52" t="s">
        <v>773</v>
      </c>
      <c r="C32" s="52" t="s">
        <v>641</v>
      </c>
      <c r="D32" s="54">
        <v>50000</v>
      </c>
      <c r="E32" s="52" t="s">
        <v>774</v>
      </c>
      <c r="F32" s="52" t="s">
        <v>770</v>
      </c>
      <c r="G32" s="52">
        <v>0</v>
      </c>
    </row>
    <row r="33" spans="2:7" x14ac:dyDescent="0.8">
      <c r="B33" s="52" t="s">
        <v>775</v>
      </c>
      <c r="C33" s="52" t="s">
        <v>645</v>
      </c>
      <c r="D33" s="54">
        <v>4092.36872700188</v>
      </c>
      <c r="E33" s="52" t="s">
        <v>776</v>
      </c>
      <c r="F33" s="52" t="s">
        <v>781</v>
      </c>
      <c r="G33" s="54">
        <v>1427.4461732333248</v>
      </c>
    </row>
    <row r="34" spans="2:7" ht="16.75" thickBot="1" x14ac:dyDescent="0.95">
      <c r="B34" s="50" t="s">
        <v>782</v>
      </c>
      <c r="C34" s="50" t="s">
        <v>642</v>
      </c>
      <c r="D34" s="53">
        <v>46769.928308592913</v>
      </c>
      <c r="E34" s="50" t="s">
        <v>783</v>
      </c>
      <c r="F34" s="50" t="s">
        <v>781</v>
      </c>
      <c r="G34" s="53">
        <v>16769.928308592913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3"/>
  <sheetViews>
    <sheetView zoomScale="70" zoomScaleNormal="70" workbookViewId="0">
      <selection activeCell="J2" sqref="J2"/>
    </sheetView>
  </sheetViews>
  <sheetFormatPr defaultColWidth="10.7890625" defaultRowHeight="16" x14ac:dyDescent="0.8"/>
  <cols>
    <col min="1" max="1" width="21.08203125" bestFit="1" customWidth="1"/>
    <col min="2" max="2" width="13.20703125" bestFit="1" customWidth="1"/>
    <col min="4" max="4" width="14.75" bestFit="1" customWidth="1"/>
    <col min="5" max="5" width="11.0390625" bestFit="1" customWidth="1"/>
    <col min="6" max="6" width="13.20703125" bestFit="1" customWidth="1"/>
    <col min="7" max="7" width="11.0390625" bestFit="1" customWidth="1"/>
    <col min="8" max="8" width="14.25" bestFit="1" customWidth="1"/>
    <col min="9" max="9" width="14.1640625" bestFit="1" customWidth="1"/>
  </cols>
  <sheetData>
    <row r="1" spans="1:9" x14ac:dyDescent="0.8">
      <c r="A1" s="55" t="s">
        <v>621</v>
      </c>
      <c r="B1" s="55"/>
      <c r="C1" s="55"/>
      <c r="D1" s="55"/>
      <c r="E1" s="55"/>
      <c r="F1" s="55"/>
      <c r="G1" s="55"/>
      <c r="H1" s="55"/>
      <c r="I1" s="55"/>
    </row>
    <row r="2" spans="1:9" x14ac:dyDescent="0.8">
      <c r="A2" s="1" t="s">
        <v>622</v>
      </c>
      <c r="B2" s="1" t="s">
        <v>623</v>
      </c>
      <c r="C2" s="1" t="s">
        <v>624</v>
      </c>
      <c r="D2" s="55" t="s">
        <v>625</v>
      </c>
      <c r="E2" s="56"/>
      <c r="F2" s="55" t="s">
        <v>626</v>
      </c>
      <c r="G2" s="55"/>
      <c r="H2" s="55" t="s">
        <v>627</v>
      </c>
      <c r="I2" s="55"/>
    </row>
    <row r="3" spans="1:9" x14ac:dyDescent="0.8">
      <c r="A3" s="2" t="s">
        <v>629</v>
      </c>
      <c r="B3" s="2">
        <v>0</v>
      </c>
      <c r="C3" s="2">
        <v>0.08</v>
      </c>
      <c r="D3" s="2" t="s">
        <v>633</v>
      </c>
      <c r="E3" s="2">
        <v>1</v>
      </c>
      <c r="F3" s="2" t="s">
        <v>635</v>
      </c>
      <c r="G3" s="2">
        <v>0</v>
      </c>
      <c r="H3" s="2" t="s">
        <v>636</v>
      </c>
      <c r="I3" s="2">
        <v>1</v>
      </c>
    </row>
    <row r="4" spans="1:9" x14ac:dyDescent="0.8">
      <c r="A4" s="2" t="s">
        <v>630</v>
      </c>
      <c r="B4" s="2">
        <v>0</v>
      </c>
      <c r="C4" s="2">
        <v>0.09</v>
      </c>
      <c r="D4" s="2" t="s">
        <v>633</v>
      </c>
      <c r="E4" s="2">
        <v>1</v>
      </c>
      <c r="F4" s="2" t="s">
        <v>637</v>
      </c>
      <c r="G4" s="2">
        <v>1</v>
      </c>
      <c r="H4" s="2" t="s">
        <v>638</v>
      </c>
      <c r="I4" s="2">
        <v>0</v>
      </c>
    </row>
    <row r="5" spans="1:9" x14ac:dyDescent="0.8">
      <c r="A5" s="2" t="s">
        <v>631</v>
      </c>
      <c r="B5" s="2">
        <v>0</v>
      </c>
      <c r="C5" s="2">
        <v>0.09</v>
      </c>
      <c r="D5" s="2" t="s">
        <v>634</v>
      </c>
      <c r="E5" s="2">
        <v>0</v>
      </c>
      <c r="F5" s="2" t="s">
        <v>635</v>
      </c>
      <c r="G5" s="2">
        <v>0</v>
      </c>
      <c r="H5" s="2" t="s">
        <v>638</v>
      </c>
      <c r="I5" s="2">
        <v>0</v>
      </c>
    </row>
    <row r="6" spans="1:9" x14ac:dyDescent="0.8">
      <c r="A6" s="2" t="s">
        <v>632</v>
      </c>
      <c r="B6" s="2">
        <v>0</v>
      </c>
      <c r="C6" s="2">
        <v>0.09</v>
      </c>
      <c r="D6" s="2" t="s">
        <v>634</v>
      </c>
      <c r="E6" s="2">
        <v>0</v>
      </c>
      <c r="F6" s="2" t="s">
        <v>637</v>
      </c>
      <c r="G6" s="2">
        <v>1</v>
      </c>
      <c r="H6" s="2" t="s">
        <v>636</v>
      </c>
      <c r="I6" s="2">
        <v>1</v>
      </c>
    </row>
    <row r="7" spans="1:9" x14ac:dyDescent="0.8">
      <c r="A7" s="2" t="s">
        <v>628</v>
      </c>
      <c r="B7" s="2">
        <v>0</v>
      </c>
      <c r="C7" s="2">
        <v>9.5000000000000001E-2</v>
      </c>
      <c r="D7" s="2" t="s">
        <v>634</v>
      </c>
      <c r="E7" s="2">
        <v>0</v>
      </c>
      <c r="F7" s="2" t="s">
        <v>637</v>
      </c>
      <c r="G7" s="2">
        <v>1</v>
      </c>
      <c r="H7" s="2" t="s">
        <v>636</v>
      </c>
      <c r="I7" s="2">
        <v>1</v>
      </c>
    </row>
    <row r="9" spans="1:9" x14ac:dyDescent="0.8">
      <c r="A9" s="1" t="s">
        <v>639</v>
      </c>
      <c r="B9" s="2">
        <f>SUM(B3:B7)</f>
        <v>0</v>
      </c>
      <c r="D9" s="1" t="s">
        <v>640</v>
      </c>
      <c r="E9" s="2">
        <f>SUMPRODUCT(E3:E7,$B$3:$B$7)</f>
        <v>0</v>
      </c>
      <c r="F9" s="1" t="s">
        <v>641</v>
      </c>
      <c r="G9" s="2">
        <f>SUMPRODUCT(G3:G7,$B$3:$B$7)</f>
        <v>0</v>
      </c>
      <c r="H9" s="1" t="s">
        <v>642</v>
      </c>
      <c r="I9" s="2">
        <f>SUMPRODUCT(I3:I7,$B$3:$B$7)</f>
        <v>0</v>
      </c>
    </row>
    <row r="11" spans="1:9" x14ac:dyDescent="0.8">
      <c r="A11" s="1" t="s">
        <v>643</v>
      </c>
      <c r="B11" s="9">
        <v>100000</v>
      </c>
    </row>
    <row r="13" spans="1:9" x14ac:dyDescent="0.8">
      <c r="B13" s="1" t="s">
        <v>644</v>
      </c>
      <c r="C13" s="2">
        <f>SUMPRODUCT(C3:C7,$B$3:$B$7)</f>
        <v>0</v>
      </c>
      <c r="H13" s="1" t="s">
        <v>645</v>
      </c>
      <c r="I13" s="2">
        <f>SUMPRODUCT($B$3:B7,C3:C7,I3:I7)</f>
        <v>0</v>
      </c>
    </row>
  </sheetData>
  <mergeCells count="4">
    <mergeCell ref="A1:I1"/>
    <mergeCell ref="D2:E2"/>
    <mergeCell ref="F2:G2"/>
    <mergeCell ref="H2:I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10</vt:i4>
      </vt:variant>
      <vt:variant>
        <vt:lpstr>Charts</vt:lpstr>
      </vt:variant>
      <vt:variant>
        <vt:i4>1</vt:i4>
      </vt:variant>
      <vt:variant>
        <vt:lpstr>Named Ranges</vt:lpstr>
      </vt:variant>
      <vt:variant>
        <vt:i4>18</vt:i4>
      </vt:variant>
    </vt:vector>
  </HeadingPairs>
  <TitlesOfParts>
    <vt:vector size="29" baseType="lpstr">
      <vt:lpstr>Student Details</vt:lpstr>
      <vt:lpstr>Constants</vt:lpstr>
      <vt:lpstr>Employees &amp; Volunteers</vt:lpstr>
      <vt:lpstr>Children</vt:lpstr>
      <vt:lpstr>ChildrenPivotTable</vt:lpstr>
      <vt:lpstr>Families</vt:lpstr>
      <vt:lpstr>2019 Planner</vt:lpstr>
      <vt:lpstr>2019 Scenario Summary</vt:lpstr>
      <vt:lpstr>Investment Answer Report</vt:lpstr>
      <vt:lpstr>Investment Planning</vt:lpstr>
      <vt:lpstr>ChildrenPivotChart</vt:lpstr>
      <vt:lpstr>CareCosts</vt:lpstr>
      <vt:lpstr>CCBHourlyRate</vt:lpstr>
      <vt:lpstr>CCBMaxHours</vt:lpstr>
      <vt:lpstr>CCBThreshold</vt:lpstr>
      <vt:lpstr>CCBThresholdModifier</vt:lpstr>
      <vt:lpstr>CCRMax</vt:lpstr>
      <vt:lpstr>CCRRate</vt:lpstr>
      <vt:lpstr>Criteria</vt:lpstr>
      <vt:lpstr>Database</vt:lpstr>
      <vt:lpstr>EmployeeSuper</vt:lpstr>
      <vt:lpstr>EmployerSuper</vt:lpstr>
      <vt:lpstr>FixedTax</vt:lpstr>
      <vt:lpstr>HELP</vt:lpstr>
      <vt:lpstr>Holidays</vt:lpstr>
      <vt:lpstr>IncomeThreshold</vt:lpstr>
      <vt:lpstr>Rooms</vt:lpstr>
      <vt:lpstr>SaturdayPenalty</vt:lpstr>
      <vt:lpstr>TaxPercentage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Jason Weigel</dc:creator>
  <cp:lastModifiedBy>John</cp:lastModifiedBy>
  <dcterms:created xsi:type="dcterms:W3CDTF">2017-07-17T13:37:02Z</dcterms:created>
  <dcterms:modified xsi:type="dcterms:W3CDTF">2018-05-19T07:15:54Z</dcterms:modified>
</cp:coreProperties>
</file>